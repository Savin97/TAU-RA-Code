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TAU-RA-Code\Docs\"/>
    </mc:Choice>
  </mc:AlternateContent>
  <xr:revisionPtr revIDLastSave="0" documentId="13_ncr:9_{F7556BF0-8EE4-4474-A621-F50D6361BECD}" xr6:coauthVersionLast="47" xr6:coauthVersionMax="47" xr10:uidLastSave="{00000000-0000-0000-0000-000000000000}"/>
  <bookViews>
    <workbookView xWindow="-120" yWindow="-120" windowWidth="38640" windowHeight="21240" xr2:uid="{3137263C-90DF-44F5-B689-225A2B9B7652}"/>
  </bookViews>
  <sheets>
    <sheet name="Bach_1001_adagio_reviewed_Marti" sheetId="1" r:id="rId1"/>
  </sheets>
  <calcPr calcId="0"/>
</workbook>
</file>

<file path=xl/calcChain.xml><?xml version="1.0" encoding="utf-8"?>
<calcChain xmlns="http://schemas.openxmlformats.org/spreadsheetml/2006/main">
  <c r="J4" i="1" l="1"/>
  <c r="I3" i="1"/>
  <c r="J5" i="1"/>
  <c r="J6" i="1"/>
  <c r="J7" i="1"/>
  <c r="J8" i="1"/>
  <c r="J9" i="1"/>
  <c r="J10" i="1"/>
  <c r="L3" i="1"/>
  <c r="H4" i="1"/>
  <c r="H5" i="1"/>
  <c r="H6" i="1"/>
  <c r="H7" i="1"/>
  <c r="H8" i="1"/>
  <c r="H9" i="1"/>
  <c r="H10" i="1"/>
  <c r="H3" i="1"/>
  <c r="D4" i="1"/>
  <c r="D5" i="1"/>
  <c r="D6" i="1"/>
  <c r="D7" i="1"/>
  <c r="D8" i="1"/>
  <c r="D9" i="1"/>
  <c r="D10" i="1"/>
  <c r="I10" i="1" s="1"/>
  <c r="D3" i="1"/>
  <c r="I7" i="1" l="1"/>
  <c r="I4" i="1"/>
  <c r="I6" i="1"/>
  <c r="I5" i="1"/>
  <c r="I9" i="1"/>
  <c r="I8" i="1"/>
</calcChain>
</file>

<file path=xl/sharedStrings.xml><?xml version="1.0" encoding="utf-8"?>
<sst xmlns="http://schemas.openxmlformats.org/spreadsheetml/2006/main" count="719" uniqueCount="163">
  <si>
    <t>mc</t>
  </si>
  <si>
    <t>mc_onset</t>
  </si>
  <si>
    <t>mc_onset_num</t>
  </si>
  <si>
    <t>annotation_dur</t>
  </si>
  <si>
    <t>timesig</t>
  </si>
  <si>
    <t>timesig_num</t>
  </si>
  <si>
    <t>root</t>
  </si>
  <si>
    <t>root_diff</t>
  </si>
  <si>
    <t>prog_weight(dur)</t>
  </si>
  <si>
    <t>staff</t>
  </si>
  <si>
    <t>voice</t>
  </si>
  <si>
    <t>label</t>
  </si>
  <si>
    <t>globalkey</t>
  </si>
  <si>
    <t>localkey</t>
  </si>
  <si>
    <t>pedal</t>
  </si>
  <si>
    <t>chord</t>
  </si>
  <si>
    <t>numeral</t>
  </si>
  <si>
    <t>form</t>
  </si>
  <si>
    <t>figbass</t>
  </si>
  <si>
    <t>changes</t>
  </si>
  <si>
    <t>relativeroot</t>
  </si>
  <si>
    <t>cadence</t>
  </si>
  <si>
    <t>phraseend</t>
  </si>
  <si>
    <t>chord_type</t>
  </si>
  <si>
    <t>globalkey_is_minor</t>
  </si>
  <si>
    <t>localkey_is_minor</t>
  </si>
  <si>
    <t>chord_tones</t>
  </si>
  <si>
    <t>added_tones</t>
  </si>
  <si>
    <t>bass_note</t>
  </si>
  <si>
    <t>g.i{</t>
  </si>
  <si>
    <t>g</t>
  </si>
  <si>
    <t>i</t>
  </si>
  <si>
    <t>{</t>
  </si>
  <si>
    <t>m</t>
  </si>
  <si>
    <t>1, -2, 2</t>
  </si>
  <si>
    <t>00-Jan</t>
  </si>
  <si>
    <t>#viio6(2)</t>
  </si>
  <si>
    <t>#vii</t>
  </si>
  <si>
    <t>o</t>
  </si>
  <si>
    <t>3, 0, 1</t>
  </si>
  <si>
    <t>#viio6</t>
  </si>
  <si>
    <t>3, 0, 6</t>
  </si>
  <si>
    <t>V</t>
  </si>
  <si>
    <t>M</t>
  </si>
  <si>
    <t>2, 6, 3</t>
  </si>
  <si>
    <t>V7</t>
  </si>
  <si>
    <t>Mm7</t>
  </si>
  <si>
    <t>2, 6, 3, 0</t>
  </si>
  <si>
    <t>i}</t>
  </si>
  <si>
    <t>}</t>
  </si>
  <si>
    <t>VI6</t>
  </si>
  <si>
    <t>VI</t>
  </si>
  <si>
    <t>1, -2, -3</t>
  </si>
  <si>
    <t>v6(2)</t>
  </si>
  <si>
    <t>v</t>
  </si>
  <si>
    <t>-1, 3, -3</t>
  </si>
  <si>
    <t>v6</t>
  </si>
  <si>
    <t>-1, 3, 2</t>
  </si>
  <si>
    <t>iv6(2)</t>
  </si>
  <si>
    <t>iv</t>
  </si>
  <si>
    <t>-3, 1, 2</t>
  </si>
  <si>
    <t>15/16</t>
  </si>
  <si>
    <t>iv6</t>
  </si>
  <si>
    <t>-3, 1, 0</t>
  </si>
  <si>
    <t>V(4)</t>
  </si>
  <si>
    <t>2, 1, 3</t>
  </si>
  <si>
    <t>v.iv7</t>
  </si>
  <si>
    <t>iv7</t>
  </si>
  <si>
    <t>mm7</t>
  </si>
  <si>
    <t>1, -2, 2, -1</t>
  </si>
  <si>
    <t>V6</t>
  </si>
  <si>
    <t>7, 4, 3</t>
  </si>
  <si>
    <t>2, -1, 3</t>
  </si>
  <si>
    <t>bII6(2)</t>
  </si>
  <si>
    <t>bII</t>
  </si>
  <si>
    <t>1, -2, -1</t>
  </si>
  <si>
    <t>bII6</t>
  </si>
  <si>
    <t>V2</t>
  </si>
  <si>
    <t>1, 3, 7, 4</t>
  </si>
  <si>
    <t>i6</t>
  </si>
  <si>
    <t>4, 1, 2</t>
  </si>
  <si>
    <t>V43</t>
  </si>
  <si>
    <t>4, 1, 3, 7</t>
  </si>
  <si>
    <t>i(4)</t>
  </si>
  <si>
    <t>0, 4, 3</t>
  </si>
  <si>
    <t>-2, 2, 3</t>
  </si>
  <si>
    <t>-2, 2, 1</t>
  </si>
  <si>
    <t>iio64</t>
  </si>
  <si>
    <t>ii</t>
  </si>
  <si>
    <t>-2, 4, 1</t>
  </si>
  <si>
    <t>V7(4)</t>
  </si>
  <si>
    <t>3, 2, 4, 1</t>
  </si>
  <si>
    <t>3, 7, 4, 1</t>
  </si>
  <si>
    <t>V(64)</t>
  </si>
  <si>
    <t>3, 2, -1</t>
  </si>
  <si>
    <t>3, 2, 4</t>
  </si>
  <si>
    <t>3, 7, 4</t>
  </si>
  <si>
    <t>i.i6{</t>
  </si>
  <si>
    <t>#viio65</t>
  </si>
  <si>
    <t>o7</t>
  </si>
  <si>
    <t>3, 0, -3, 6</t>
  </si>
  <si>
    <t>iv.V7</t>
  </si>
  <si>
    <t>1, 5, 2, -1</t>
  </si>
  <si>
    <t>i(9#7)</t>
  </si>
  <si>
    <t>9#7</t>
  </si>
  <si>
    <t>0, -3, 1</t>
  </si>
  <si>
    <t>2, 5</t>
  </si>
  <si>
    <t>viio6/III</t>
  </si>
  <si>
    <t>vii</t>
  </si>
  <si>
    <t>III</t>
  </si>
  <si>
    <t>-1, -4, 2</t>
  </si>
  <si>
    <t>III6</t>
  </si>
  <si>
    <t>V2/III</t>
  </si>
  <si>
    <t>-4, -2, 2, -1</t>
  </si>
  <si>
    <t>V65/III</t>
  </si>
  <si>
    <t>2, -1, -4, -2</t>
  </si>
  <si>
    <t>-3, 1, -2</t>
  </si>
  <si>
    <t>V7/IV/III</t>
  </si>
  <si>
    <t>IV/III</t>
  </si>
  <si>
    <t>-3, 1, -2, -5</t>
  </si>
  <si>
    <t>IV</t>
  </si>
  <si>
    <t>-4, 0, -3</t>
  </si>
  <si>
    <t>ii6/III</t>
  </si>
  <si>
    <t>-4, 0, -1</t>
  </si>
  <si>
    <t>V(4)/III</t>
  </si>
  <si>
    <t>-2, -3, -1</t>
  </si>
  <si>
    <t>V/III</t>
  </si>
  <si>
    <t>-2, 2, -1</t>
  </si>
  <si>
    <t>viio7/V/III}</t>
  </si>
  <si>
    <t>viio7/V/III</t>
  </si>
  <si>
    <t>3, 0, -3, -6</t>
  </si>
  <si>
    <t>#viio7{</t>
  </si>
  <si>
    <t>#viio7</t>
  </si>
  <si>
    <t>5, 2, -1, -4</t>
  </si>
  <si>
    <t>1, 5, 2</t>
  </si>
  <si>
    <t>i}{</t>
  </si>
  <si>
    <t>}{</t>
  </si>
  <si>
    <t>2, -1, 0</t>
  </si>
  <si>
    <t>2, -1, 5</t>
  </si>
  <si>
    <t>0, -3, -4</t>
  </si>
  <si>
    <t>v65(2)</t>
  </si>
  <si>
    <t>-2, 2, -1, -4</t>
  </si>
  <si>
    <t>v65</t>
  </si>
  <si>
    <t>-2, 2, -1, 1</t>
  </si>
  <si>
    <t>iv65(2)</t>
  </si>
  <si>
    <t>-4, 0, -3, 1</t>
  </si>
  <si>
    <t>iv65</t>
  </si>
  <si>
    <t>-4, 0, -3, -1</t>
  </si>
  <si>
    <t>1, 0, 2</t>
  </si>
  <si>
    <t>V65</t>
  </si>
  <si>
    <t>5, 2, -1, 1</t>
  </si>
  <si>
    <t>i.#viio7</t>
  </si>
  <si>
    <t>6, 3, 0, -3</t>
  </si>
  <si>
    <t>0, -3, -2</t>
  </si>
  <si>
    <t>3, 0, 2, 6</t>
  </si>
  <si>
    <t>V2(4)</t>
  </si>
  <si>
    <t>0, 2, 1, 3</t>
  </si>
  <si>
    <t>0, 2, 6, 3</t>
  </si>
  <si>
    <t>V65/V</t>
  </si>
  <si>
    <t>7, 4, 1, 3</t>
  </si>
  <si>
    <t>bigram_weight</t>
  </si>
  <si>
    <t>weighted_prog</t>
  </si>
  <si>
    <t>W = 1, S=0.55 , A=3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</si>
</sst>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E0DC-A04F-4918-A728-AE8BDACED963}">
  <dimension ref="A1:AF94"/>
  <sheetViews>
    <sheetView tabSelected="1" zoomScale="160" zoomScaleNormal="160" workbookViewId="0">
      <selection activeCell="J1" sqref="J1:J10"/>
    </sheetView>
  </sheetViews>
  <sheetFormatPr defaultRowHeight="15" x14ac:dyDescent="0.25"/>
  <cols>
    <col min="4" max="4" width="14.7109375" bestFit="1" customWidth="1"/>
    <col min="9" max="9" width="16.140625" bestFit="1" customWidth="1"/>
    <col min="10" max="10" width="14" bestFit="1" customWidth="1"/>
    <col min="11" max="12" width="14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160</v>
      </c>
      <c r="K1" t="s">
        <v>162</v>
      </c>
      <c r="L1" t="s">
        <v>161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</row>
    <row r="2" spans="1:32" x14ac:dyDescent="0.25">
      <c r="A2">
        <v>1</v>
      </c>
      <c r="B2">
        <v>0</v>
      </c>
      <c r="C2">
        <v>0</v>
      </c>
      <c r="E2" s="1">
        <v>46116</v>
      </c>
      <c r="F2">
        <v>1</v>
      </c>
      <c r="G2">
        <v>1</v>
      </c>
      <c r="M2">
        <v>1</v>
      </c>
      <c r="N2">
        <v>1</v>
      </c>
      <c r="O2" t="s">
        <v>29</v>
      </c>
      <c r="P2" t="s">
        <v>30</v>
      </c>
      <c r="Q2" t="s">
        <v>31</v>
      </c>
      <c r="S2" t="s">
        <v>31</v>
      </c>
      <c r="T2" t="s">
        <v>31</v>
      </c>
      <c r="Z2" t="s">
        <v>32</v>
      </c>
      <c r="AA2" t="s">
        <v>33</v>
      </c>
      <c r="AB2">
        <v>1</v>
      </c>
      <c r="AC2">
        <v>1</v>
      </c>
      <c r="AD2" t="s">
        <v>34</v>
      </c>
      <c r="AF2">
        <v>1</v>
      </c>
    </row>
    <row r="3" spans="1:32" x14ac:dyDescent="0.25">
      <c r="A3">
        <v>1</v>
      </c>
      <c r="B3" t="s">
        <v>35</v>
      </c>
      <c r="C3">
        <v>0.5</v>
      </c>
      <c r="D3">
        <f>(C3-C2)+(A3-A2)*F2</f>
        <v>0.5</v>
      </c>
      <c r="E3" s="1">
        <v>46116</v>
      </c>
      <c r="F3">
        <v>1</v>
      </c>
      <c r="G3">
        <v>6</v>
      </c>
      <c r="H3">
        <f>G3-G2</f>
        <v>5</v>
      </c>
      <c r="I3">
        <f>D3+D4</f>
        <v>0.625</v>
      </c>
      <c r="L3">
        <f>I3*3</f>
        <v>1.875</v>
      </c>
      <c r="M3">
        <v>1</v>
      </c>
      <c r="N3">
        <v>1</v>
      </c>
      <c r="O3" t="s">
        <v>36</v>
      </c>
      <c r="P3" t="s">
        <v>30</v>
      </c>
      <c r="Q3" t="s">
        <v>31</v>
      </c>
      <c r="S3" t="s">
        <v>36</v>
      </c>
      <c r="T3" t="s">
        <v>37</v>
      </c>
      <c r="U3" t="s">
        <v>38</v>
      </c>
      <c r="V3">
        <v>6</v>
      </c>
      <c r="W3">
        <v>2</v>
      </c>
      <c r="AA3" t="s">
        <v>38</v>
      </c>
      <c r="AB3">
        <v>1</v>
      </c>
      <c r="AC3">
        <v>1</v>
      </c>
      <c r="AD3" t="s">
        <v>39</v>
      </c>
      <c r="AF3">
        <v>3</v>
      </c>
    </row>
    <row r="4" spans="1:32" x14ac:dyDescent="0.25">
      <c r="A4">
        <v>1</v>
      </c>
      <c r="B4" s="1">
        <v>46239</v>
      </c>
      <c r="C4">
        <v>0.625</v>
      </c>
      <c r="D4">
        <f t="shared" ref="D4:D10" si="0">(C4-C3)+(A4-A3)*F3</f>
        <v>0.125</v>
      </c>
      <c r="E4" s="1">
        <v>46116</v>
      </c>
      <c r="F4">
        <v>1</v>
      </c>
      <c r="G4">
        <v>6</v>
      </c>
      <c r="H4">
        <f t="shared" ref="H4:H10" si="1">G4-G3</f>
        <v>0</v>
      </c>
      <c r="I4">
        <f t="shared" ref="I4:I10" si="2">D4+D5</f>
        <v>0.25</v>
      </c>
      <c r="J4">
        <f>I4+I3</f>
        <v>0.875</v>
      </c>
      <c r="M4">
        <v>1</v>
      </c>
      <c r="N4">
        <v>1</v>
      </c>
      <c r="O4" t="s">
        <v>40</v>
      </c>
      <c r="P4" t="s">
        <v>30</v>
      </c>
      <c r="Q4" t="s">
        <v>31</v>
      </c>
      <c r="S4" t="s">
        <v>40</v>
      </c>
      <c r="T4" t="s">
        <v>37</v>
      </c>
      <c r="U4" t="s">
        <v>38</v>
      </c>
      <c r="V4">
        <v>6</v>
      </c>
      <c r="AA4" t="s">
        <v>38</v>
      </c>
      <c r="AB4">
        <v>1</v>
      </c>
      <c r="AC4">
        <v>1</v>
      </c>
      <c r="AD4" t="s">
        <v>41</v>
      </c>
      <c r="AF4">
        <v>3</v>
      </c>
    </row>
    <row r="5" spans="1:32" x14ac:dyDescent="0.25">
      <c r="A5">
        <v>1</v>
      </c>
      <c r="B5" s="1">
        <v>46115</v>
      </c>
      <c r="C5">
        <v>0.75</v>
      </c>
      <c r="D5">
        <f t="shared" si="0"/>
        <v>0.125</v>
      </c>
      <c r="E5" s="1">
        <v>46116</v>
      </c>
      <c r="F5">
        <v>1</v>
      </c>
      <c r="G5">
        <v>2</v>
      </c>
      <c r="H5">
        <f t="shared" si="1"/>
        <v>-4</v>
      </c>
      <c r="I5">
        <f t="shared" si="2"/>
        <v>0.375</v>
      </c>
      <c r="J5">
        <f t="shared" ref="J5:J10" si="3">I5+I4</f>
        <v>0.625</v>
      </c>
      <c r="M5">
        <v>1</v>
      </c>
      <c r="N5">
        <v>1</v>
      </c>
      <c r="O5" t="s">
        <v>42</v>
      </c>
      <c r="P5" t="s">
        <v>30</v>
      </c>
      <c r="Q5" t="s">
        <v>31</v>
      </c>
      <c r="S5" t="s">
        <v>42</v>
      </c>
      <c r="T5" t="s">
        <v>42</v>
      </c>
      <c r="AA5" t="s">
        <v>43</v>
      </c>
      <c r="AB5">
        <v>1</v>
      </c>
      <c r="AC5">
        <v>1</v>
      </c>
      <c r="AD5" t="s">
        <v>44</v>
      </c>
      <c r="AF5">
        <v>2</v>
      </c>
    </row>
    <row r="6" spans="1:32" x14ac:dyDescent="0.25">
      <c r="A6">
        <v>2</v>
      </c>
      <c r="B6">
        <v>0</v>
      </c>
      <c r="C6">
        <v>0</v>
      </c>
      <c r="D6">
        <f t="shared" si="0"/>
        <v>0.25</v>
      </c>
      <c r="E6" s="1">
        <v>46116</v>
      </c>
      <c r="F6">
        <v>1</v>
      </c>
      <c r="G6">
        <v>2</v>
      </c>
      <c r="H6">
        <f t="shared" si="1"/>
        <v>0</v>
      </c>
      <c r="I6">
        <f t="shared" si="2"/>
        <v>0.75</v>
      </c>
      <c r="J6">
        <f t="shared" si="3"/>
        <v>1.125</v>
      </c>
      <c r="M6">
        <v>1</v>
      </c>
      <c r="N6">
        <v>1</v>
      </c>
      <c r="O6" t="s">
        <v>45</v>
      </c>
      <c r="P6" t="s">
        <v>30</v>
      </c>
      <c r="Q6" t="s">
        <v>31</v>
      </c>
      <c r="S6" t="s">
        <v>45</v>
      </c>
      <c r="T6" t="s">
        <v>42</v>
      </c>
      <c r="V6">
        <v>7</v>
      </c>
      <c r="AA6" t="s">
        <v>46</v>
      </c>
      <c r="AB6">
        <v>1</v>
      </c>
      <c r="AC6">
        <v>1</v>
      </c>
      <c r="AD6" t="s">
        <v>47</v>
      </c>
      <c r="AF6">
        <v>2</v>
      </c>
    </row>
    <row r="7" spans="1:32" x14ac:dyDescent="0.25">
      <c r="A7">
        <v>2</v>
      </c>
      <c r="B7" s="1">
        <v>46054</v>
      </c>
      <c r="C7">
        <v>0.5</v>
      </c>
      <c r="D7">
        <f t="shared" si="0"/>
        <v>0.5</v>
      </c>
      <c r="E7" s="1">
        <v>46116</v>
      </c>
      <c r="F7">
        <v>1</v>
      </c>
      <c r="G7">
        <v>1</v>
      </c>
      <c r="H7">
        <f t="shared" si="1"/>
        <v>-1</v>
      </c>
      <c r="I7">
        <f t="shared" si="2"/>
        <v>2.75</v>
      </c>
      <c r="J7">
        <f t="shared" si="3"/>
        <v>3.5</v>
      </c>
      <c r="M7">
        <v>1</v>
      </c>
      <c r="N7">
        <v>1</v>
      </c>
      <c r="O7" t="s">
        <v>48</v>
      </c>
      <c r="P7" t="s">
        <v>30</v>
      </c>
      <c r="Q7" t="s">
        <v>31</v>
      </c>
      <c r="S7" t="s">
        <v>31</v>
      </c>
      <c r="T7" t="s">
        <v>31</v>
      </c>
      <c r="Z7" t="s">
        <v>49</v>
      </c>
      <c r="AA7" t="s">
        <v>33</v>
      </c>
      <c r="AB7">
        <v>1</v>
      </c>
      <c r="AC7">
        <v>1</v>
      </c>
      <c r="AD7" t="s">
        <v>34</v>
      </c>
      <c r="AF7">
        <v>1</v>
      </c>
    </row>
    <row r="8" spans="1:32" x14ac:dyDescent="0.25">
      <c r="A8">
        <v>4</v>
      </c>
      <c r="B8" s="1">
        <v>46115</v>
      </c>
      <c r="C8">
        <v>0.75</v>
      </c>
      <c r="D8">
        <f t="shared" si="0"/>
        <v>2.25</v>
      </c>
      <c r="E8" s="1">
        <v>46116</v>
      </c>
      <c r="F8">
        <v>1</v>
      </c>
      <c r="G8">
        <v>-3</v>
      </c>
      <c r="H8">
        <f t="shared" si="1"/>
        <v>-4</v>
      </c>
      <c r="I8">
        <f t="shared" si="2"/>
        <v>3.5</v>
      </c>
      <c r="J8">
        <f t="shared" si="3"/>
        <v>6.25</v>
      </c>
      <c r="M8">
        <v>1</v>
      </c>
      <c r="N8">
        <v>1</v>
      </c>
      <c r="O8" t="s">
        <v>50</v>
      </c>
      <c r="P8" t="s">
        <v>30</v>
      </c>
      <c r="Q8" t="s">
        <v>31</v>
      </c>
      <c r="S8" t="s">
        <v>50</v>
      </c>
      <c r="T8" t="s">
        <v>51</v>
      </c>
      <c r="V8">
        <v>6</v>
      </c>
      <c r="AA8" t="s">
        <v>43</v>
      </c>
      <c r="AB8">
        <v>1</v>
      </c>
      <c r="AC8">
        <v>1</v>
      </c>
      <c r="AD8" t="s">
        <v>52</v>
      </c>
      <c r="AF8">
        <v>1</v>
      </c>
    </row>
    <row r="9" spans="1:32" x14ac:dyDescent="0.25">
      <c r="A9">
        <v>6</v>
      </c>
      <c r="B9">
        <v>0</v>
      </c>
      <c r="C9">
        <v>0</v>
      </c>
      <c r="D9">
        <f t="shared" si="0"/>
        <v>1.25</v>
      </c>
      <c r="E9" s="1">
        <v>46116</v>
      </c>
      <c r="F9">
        <v>1</v>
      </c>
      <c r="G9">
        <v>2</v>
      </c>
      <c r="H9">
        <f t="shared" si="1"/>
        <v>5</v>
      </c>
      <c r="I9">
        <f t="shared" si="2"/>
        <v>4.5</v>
      </c>
      <c r="J9">
        <f t="shared" si="3"/>
        <v>8</v>
      </c>
      <c r="M9">
        <v>1</v>
      </c>
      <c r="N9">
        <v>1</v>
      </c>
      <c r="O9" t="s">
        <v>53</v>
      </c>
      <c r="P9" t="s">
        <v>30</v>
      </c>
      <c r="Q9" t="s">
        <v>31</v>
      </c>
      <c r="S9" t="s">
        <v>53</v>
      </c>
      <c r="T9" t="s">
        <v>54</v>
      </c>
      <c r="V9">
        <v>6</v>
      </c>
      <c r="W9">
        <v>2</v>
      </c>
      <c r="AA9" t="s">
        <v>33</v>
      </c>
      <c r="AB9">
        <v>1</v>
      </c>
      <c r="AC9">
        <v>1</v>
      </c>
      <c r="AD9" t="s">
        <v>55</v>
      </c>
      <c r="AF9">
        <v>-1</v>
      </c>
    </row>
    <row r="10" spans="1:32" x14ac:dyDescent="0.25">
      <c r="A10">
        <v>9</v>
      </c>
      <c r="B10" s="1">
        <v>46113</v>
      </c>
      <c r="C10">
        <v>0.25</v>
      </c>
      <c r="D10">
        <f t="shared" si="0"/>
        <v>3.25</v>
      </c>
      <c r="E10" s="1">
        <v>46116</v>
      </c>
      <c r="F10">
        <v>1</v>
      </c>
      <c r="G10">
        <v>2</v>
      </c>
      <c r="H10">
        <f t="shared" si="1"/>
        <v>0</v>
      </c>
      <c r="I10">
        <f t="shared" si="2"/>
        <v>3.25</v>
      </c>
      <c r="J10">
        <f t="shared" si="3"/>
        <v>7.75</v>
      </c>
      <c r="M10">
        <v>1</v>
      </c>
      <c r="N10">
        <v>1</v>
      </c>
      <c r="O10" t="s">
        <v>56</v>
      </c>
      <c r="P10" t="s">
        <v>30</v>
      </c>
      <c r="Q10" t="s">
        <v>31</v>
      </c>
      <c r="S10" t="s">
        <v>56</v>
      </c>
      <c r="T10" t="s">
        <v>54</v>
      </c>
      <c r="V10">
        <v>6</v>
      </c>
      <c r="AA10" t="s">
        <v>33</v>
      </c>
      <c r="AB10">
        <v>1</v>
      </c>
      <c r="AC10">
        <v>1</v>
      </c>
      <c r="AD10" t="s">
        <v>57</v>
      </c>
      <c r="AF10">
        <v>-1</v>
      </c>
    </row>
    <row r="11" spans="1:32" x14ac:dyDescent="0.25">
      <c r="A11">
        <v>3</v>
      </c>
      <c r="B11" s="1">
        <v>46237</v>
      </c>
      <c r="E11" s="1">
        <v>46116</v>
      </c>
      <c r="F11">
        <v>1</v>
      </c>
      <c r="G11">
        <v>2</v>
      </c>
      <c r="M11">
        <v>1</v>
      </c>
      <c r="N11">
        <v>1</v>
      </c>
      <c r="O11" t="s">
        <v>42</v>
      </c>
      <c r="P11" t="s">
        <v>30</v>
      </c>
      <c r="Q11" t="s">
        <v>31</v>
      </c>
      <c r="S11" t="s">
        <v>42</v>
      </c>
      <c r="T11" t="s">
        <v>42</v>
      </c>
      <c r="AA11" t="s">
        <v>43</v>
      </c>
      <c r="AB11">
        <v>1</v>
      </c>
      <c r="AC11">
        <v>1</v>
      </c>
      <c r="AD11" t="s">
        <v>44</v>
      </c>
      <c r="AF11">
        <v>2</v>
      </c>
    </row>
    <row r="12" spans="1:32" x14ac:dyDescent="0.25">
      <c r="A12">
        <v>3</v>
      </c>
      <c r="B12" s="1">
        <v>46054</v>
      </c>
      <c r="E12" s="1">
        <v>46116</v>
      </c>
      <c r="F12">
        <v>1</v>
      </c>
      <c r="G12">
        <v>0</v>
      </c>
      <c r="M12">
        <v>1</v>
      </c>
      <c r="N12">
        <v>1</v>
      </c>
      <c r="O12" t="s">
        <v>58</v>
      </c>
      <c r="P12" t="s">
        <v>30</v>
      </c>
      <c r="Q12" t="s">
        <v>31</v>
      </c>
      <c r="S12" t="s">
        <v>58</v>
      </c>
      <c r="T12" t="s">
        <v>59</v>
      </c>
      <c r="V12">
        <v>6</v>
      </c>
      <c r="W12">
        <v>2</v>
      </c>
      <c r="AA12" t="s">
        <v>33</v>
      </c>
      <c r="AB12">
        <v>1</v>
      </c>
      <c r="AC12">
        <v>1</v>
      </c>
      <c r="AD12" t="s">
        <v>60</v>
      </c>
      <c r="AF12">
        <v>-3</v>
      </c>
    </row>
    <row r="13" spans="1:32" x14ac:dyDescent="0.25">
      <c r="A13">
        <v>3</v>
      </c>
      <c r="B13" t="s">
        <v>61</v>
      </c>
      <c r="E13" s="1">
        <v>46116</v>
      </c>
      <c r="F13">
        <v>1</v>
      </c>
      <c r="G13">
        <v>0</v>
      </c>
      <c r="M13">
        <v>1</v>
      </c>
      <c r="N13">
        <v>1</v>
      </c>
      <c r="O13" t="s">
        <v>62</v>
      </c>
      <c r="P13" t="s">
        <v>30</v>
      </c>
      <c r="Q13" t="s">
        <v>31</v>
      </c>
      <c r="S13" t="s">
        <v>62</v>
      </c>
      <c r="T13" t="s">
        <v>59</v>
      </c>
      <c r="V13">
        <v>6</v>
      </c>
      <c r="AA13" t="s">
        <v>33</v>
      </c>
      <c r="AB13">
        <v>1</v>
      </c>
      <c r="AC13">
        <v>1</v>
      </c>
      <c r="AD13" t="s">
        <v>63</v>
      </c>
      <c r="AF13">
        <v>-3</v>
      </c>
    </row>
    <row r="14" spans="1:32" x14ac:dyDescent="0.25">
      <c r="A14">
        <v>4</v>
      </c>
      <c r="B14">
        <v>0</v>
      </c>
      <c r="E14" s="1">
        <v>46116</v>
      </c>
      <c r="F14">
        <v>1</v>
      </c>
      <c r="G14">
        <v>2</v>
      </c>
      <c r="M14">
        <v>1</v>
      </c>
      <c r="N14">
        <v>1</v>
      </c>
      <c r="O14" t="s">
        <v>64</v>
      </c>
      <c r="P14" t="s">
        <v>30</v>
      </c>
      <c r="Q14" t="s">
        <v>31</v>
      </c>
      <c r="S14" t="s">
        <v>64</v>
      </c>
      <c r="T14" t="s">
        <v>42</v>
      </c>
      <c r="W14">
        <v>4</v>
      </c>
      <c r="AA14" t="s">
        <v>43</v>
      </c>
      <c r="AB14">
        <v>1</v>
      </c>
      <c r="AC14">
        <v>1</v>
      </c>
      <c r="AD14" t="s">
        <v>65</v>
      </c>
      <c r="AF14">
        <v>2</v>
      </c>
    </row>
    <row r="15" spans="1:32" x14ac:dyDescent="0.25">
      <c r="A15">
        <v>4</v>
      </c>
      <c r="B15" s="1">
        <v>46235</v>
      </c>
      <c r="E15" s="1">
        <v>46116</v>
      </c>
      <c r="F15">
        <v>1</v>
      </c>
      <c r="G15">
        <v>2</v>
      </c>
      <c r="M15">
        <v>1</v>
      </c>
      <c r="N15">
        <v>1</v>
      </c>
      <c r="O15" t="s">
        <v>42</v>
      </c>
      <c r="P15" t="s">
        <v>30</v>
      </c>
      <c r="Q15" t="s">
        <v>31</v>
      </c>
      <c r="S15" t="s">
        <v>42</v>
      </c>
      <c r="T15" t="s">
        <v>42</v>
      </c>
      <c r="AA15" t="s">
        <v>43</v>
      </c>
      <c r="AB15">
        <v>1</v>
      </c>
      <c r="AC15">
        <v>1</v>
      </c>
      <c r="AD15" t="s">
        <v>44</v>
      </c>
      <c r="AF15">
        <v>2</v>
      </c>
    </row>
    <row r="16" spans="1:32" x14ac:dyDescent="0.25">
      <c r="A16">
        <v>4</v>
      </c>
      <c r="B16" s="1">
        <v>46237</v>
      </c>
      <c r="E16" s="1">
        <v>46116</v>
      </c>
      <c r="F16">
        <v>1</v>
      </c>
      <c r="G16">
        <v>2</v>
      </c>
      <c r="M16">
        <v>1</v>
      </c>
      <c r="N16">
        <v>1</v>
      </c>
      <c r="O16" t="s">
        <v>45</v>
      </c>
      <c r="P16" t="s">
        <v>30</v>
      </c>
      <c r="Q16" t="s">
        <v>31</v>
      </c>
      <c r="S16" t="s">
        <v>45</v>
      </c>
      <c r="T16" t="s">
        <v>42</v>
      </c>
      <c r="V16">
        <v>7</v>
      </c>
      <c r="AA16" t="s">
        <v>46</v>
      </c>
      <c r="AB16">
        <v>1</v>
      </c>
      <c r="AC16">
        <v>1</v>
      </c>
      <c r="AD16" t="s">
        <v>47</v>
      </c>
      <c r="AF16">
        <v>2</v>
      </c>
    </row>
    <row r="17" spans="1:32" x14ac:dyDescent="0.25">
      <c r="A17">
        <v>4</v>
      </c>
      <c r="B17" s="1">
        <v>46054</v>
      </c>
      <c r="E17" s="1">
        <v>46116</v>
      </c>
      <c r="F17">
        <v>1</v>
      </c>
      <c r="G17">
        <v>1</v>
      </c>
      <c r="M17">
        <v>1</v>
      </c>
      <c r="N17">
        <v>1</v>
      </c>
      <c r="O17" t="s">
        <v>31</v>
      </c>
      <c r="P17" t="s">
        <v>30</v>
      </c>
      <c r="Q17" t="s">
        <v>31</v>
      </c>
      <c r="S17" t="s">
        <v>31</v>
      </c>
      <c r="T17" t="s">
        <v>31</v>
      </c>
      <c r="AA17" t="s">
        <v>33</v>
      </c>
      <c r="AB17">
        <v>1</v>
      </c>
      <c r="AC17">
        <v>1</v>
      </c>
      <c r="AD17" t="s">
        <v>34</v>
      </c>
      <c r="AF17">
        <v>1</v>
      </c>
    </row>
    <row r="18" spans="1:32" x14ac:dyDescent="0.25">
      <c r="A18">
        <v>4</v>
      </c>
      <c r="B18" s="1">
        <v>46241</v>
      </c>
      <c r="E18" s="1">
        <v>46116</v>
      </c>
      <c r="F18">
        <v>1</v>
      </c>
      <c r="G18">
        <v>1</v>
      </c>
      <c r="M18">
        <v>1</v>
      </c>
      <c r="N18">
        <v>1</v>
      </c>
      <c r="O18" t="s">
        <v>66</v>
      </c>
      <c r="P18" t="s">
        <v>30</v>
      </c>
      <c r="Q18" t="s">
        <v>54</v>
      </c>
      <c r="S18" t="s">
        <v>67</v>
      </c>
      <c r="T18" t="s">
        <v>59</v>
      </c>
      <c r="V18">
        <v>7</v>
      </c>
      <c r="AA18" t="s">
        <v>68</v>
      </c>
      <c r="AB18">
        <v>1</v>
      </c>
      <c r="AC18">
        <v>1</v>
      </c>
      <c r="AD18" t="s">
        <v>69</v>
      </c>
      <c r="AF18">
        <v>1</v>
      </c>
    </row>
    <row r="19" spans="1:32" x14ac:dyDescent="0.25">
      <c r="A19">
        <v>5</v>
      </c>
      <c r="B19">
        <v>0</v>
      </c>
      <c r="E19" s="1">
        <v>46116</v>
      </c>
      <c r="F19">
        <v>1</v>
      </c>
      <c r="G19">
        <v>3</v>
      </c>
      <c r="M19">
        <v>1</v>
      </c>
      <c r="N19">
        <v>1</v>
      </c>
      <c r="O19" t="s">
        <v>70</v>
      </c>
      <c r="P19" t="s">
        <v>30</v>
      </c>
      <c r="Q19" t="s">
        <v>54</v>
      </c>
      <c r="S19" t="s">
        <v>70</v>
      </c>
      <c r="T19" t="s">
        <v>42</v>
      </c>
      <c r="V19">
        <v>6</v>
      </c>
      <c r="AA19" t="s">
        <v>43</v>
      </c>
      <c r="AB19">
        <v>1</v>
      </c>
      <c r="AC19">
        <v>1</v>
      </c>
      <c r="AD19" t="s">
        <v>71</v>
      </c>
      <c r="AF19">
        <v>7</v>
      </c>
    </row>
    <row r="20" spans="1:32" x14ac:dyDescent="0.25">
      <c r="A20">
        <v>5</v>
      </c>
      <c r="B20" s="1">
        <v>46113</v>
      </c>
      <c r="E20" s="1">
        <v>46116</v>
      </c>
      <c r="F20">
        <v>1</v>
      </c>
      <c r="G20">
        <v>2</v>
      </c>
      <c r="M20">
        <v>1</v>
      </c>
      <c r="N20">
        <v>1</v>
      </c>
      <c r="O20" t="s">
        <v>31</v>
      </c>
      <c r="P20" t="s">
        <v>30</v>
      </c>
      <c r="Q20" t="s">
        <v>54</v>
      </c>
      <c r="S20" t="s">
        <v>31</v>
      </c>
      <c r="T20" t="s">
        <v>31</v>
      </c>
      <c r="AA20" t="s">
        <v>33</v>
      </c>
      <c r="AB20">
        <v>1</v>
      </c>
      <c r="AC20">
        <v>1</v>
      </c>
      <c r="AD20" t="s">
        <v>72</v>
      </c>
      <c r="AF20">
        <v>2</v>
      </c>
    </row>
    <row r="21" spans="1:32" x14ac:dyDescent="0.25">
      <c r="A21">
        <v>5</v>
      </c>
      <c r="B21" s="1">
        <v>46054</v>
      </c>
      <c r="E21" s="1">
        <v>46116</v>
      </c>
      <c r="F21">
        <v>1</v>
      </c>
      <c r="G21">
        <v>-3</v>
      </c>
      <c r="M21">
        <v>1</v>
      </c>
      <c r="N21">
        <v>1</v>
      </c>
      <c r="O21" t="s">
        <v>73</v>
      </c>
      <c r="P21" t="s">
        <v>30</v>
      </c>
      <c r="Q21" t="s">
        <v>54</v>
      </c>
      <c r="S21" t="s">
        <v>73</v>
      </c>
      <c r="T21" t="s">
        <v>74</v>
      </c>
      <c r="V21">
        <v>6</v>
      </c>
      <c r="W21">
        <v>2</v>
      </c>
      <c r="AA21" t="s">
        <v>43</v>
      </c>
      <c r="AB21">
        <v>1</v>
      </c>
      <c r="AC21">
        <v>1</v>
      </c>
      <c r="AD21" t="s">
        <v>75</v>
      </c>
      <c r="AF21">
        <v>1</v>
      </c>
    </row>
    <row r="22" spans="1:32" x14ac:dyDescent="0.25">
      <c r="A22">
        <v>5</v>
      </c>
      <c r="B22" s="1">
        <v>46239</v>
      </c>
      <c r="E22" s="1">
        <v>46116</v>
      </c>
      <c r="F22">
        <v>1</v>
      </c>
      <c r="G22">
        <v>-3</v>
      </c>
      <c r="M22">
        <v>1</v>
      </c>
      <c r="N22">
        <v>1</v>
      </c>
      <c r="O22" t="s">
        <v>76</v>
      </c>
      <c r="P22" t="s">
        <v>30</v>
      </c>
      <c r="Q22" t="s">
        <v>54</v>
      </c>
      <c r="S22" t="s">
        <v>76</v>
      </c>
      <c r="T22" t="s">
        <v>74</v>
      </c>
      <c r="V22">
        <v>6</v>
      </c>
      <c r="AA22" t="s">
        <v>43</v>
      </c>
      <c r="AB22">
        <v>1</v>
      </c>
      <c r="AC22">
        <v>1</v>
      </c>
      <c r="AD22" t="s">
        <v>52</v>
      </c>
      <c r="AF22">
        <v>1</v>
      </c>
    </row>
    <row r="23" spans="1:32" x14ac:dyDescent="0.25">
      <c r="A23">
        <v>6</v>
      </c>
      <c r="B23">
        <v>0</v>
      </c>
      <c r="E23" s="1">
        <v>46116</v>
      </c>
      <c r="G23">
        <v>3</v>
      </c>
      <c r="M23">
        <v>1</v>
      </c>
      <c r="N23">
        <v>1</v>
      </c>
      <c r="O23" t="s">
        <v>77</v>
      </c>
      <c r="P23" t="s">
        <v>30</v>
      </c>
      <c r="Q23" t="s">
        <v>54</v>
      </c>
      <c r="S23" t="s">
        <v>77</v>
      </c>
      <c r="T23" t="s">
        <v>42</v>
      </c>
      <c r="V23">
        <v>2</v>
      </c>
      <c r="AA23" t="s">
        <v>46</v>
      </c>
      <c r="AB23">
        <v>1</v>
      </c>
      <c r="AC23">
        <v>1</v>
      </c>
      <c r="AD23" t="s">
        <v>78</v>
      </c>
      <c r="AF23">
        <v>1</v>
      </c>
    </row>
    <row r="24" spans="1:32" x14ac:dyDescent="0.25">
      <c r="A24">
        <v>6</v>
      </c>
      <c r="B24" s="1">
        <v>46113</v>
      </c>
      <c r="E24" s="1">
        <v>46116</v>
      </c>
      <c r="G24">
        <v>2</v>
      </c>
      <c r="M24">
        <v>1</v>
      </c>
      <c r="N24">
        <v>1</v>
      </c>
      <c r="O24" t="s">
        <v>79</v>
      </c>
      <c r="P24" t="s">
        <v>30</v>
      </c>
      <c r="Q24" t="s">
        <v>54</v>
      </c>
      <c r="S24" t="s">
        <v>79</v>
      </c>
      <c r="T24" t="s">
        <v>31</v>
      </c>
      <c r="V24">
        <v>6</v>
      </c>
      <c r="AA24" t="s">
        <v>33</v>
      </c>
      <c r="AB24">
        <v>1</v>
      </c>
      <c r="AC24">
        <v>1</v>
      </c>
      <c r="AD24" t="s">
        <v>57</v>
      </c>
      <c r="AF24">
        <v>-1</v>
      </c>
    </row>
    <row r="25" spans="1:32" x14ac:dyDescent="0.25">
      <c r="A25">
        <v>6</v>
      </c>
      <c r="B25" s="1">
        <v>46054</v>
      </c>
      <c r="E25" s="1">
        <v>46116</v>
      </c>
      <c r="G25">
        <v>7</v>
      </c>
      <c r="M25">
        <v>1</v>
      </c>
      <c r="N25">
        <v>1</v>
      </c>
      <c r="O25" t="s">
        <v>36</v>
      </c>
      <c r="P25" t="s">
        <v>30</v>
      </c>
      <c r="Q25" t="s">
        <v>54</v>
      </c>
      <c r="S25" t="s">
        <v>36</v>
      </c>
      <c r="T25" t="s">
        <v>37</v>
      </c>
      <c r="U25" t="s">
        <v>38</v>
      </c>
      <c r="V25">
        <v>6</v>
      </c>
      <c r="W25">
        <v>2</v>
      </c>
      <c r="AA25" t="s">
        <v>38</v>
      </c>
      <c r="AB25">
        <v>1</v>
      </c>
      <c r="AC25">
        <v>1</v>
      </c>
      <c r="AD25" t="s">
        <v>80</v>
      </c>
      <c r="AF25">
        <v>4</v>
      </c>
    </row>
    <row r="26" spans="1:32" x14ac:dyDescent="0.25">
      <c r="A26">
        <v>6</v>
      </c>
      <c r="B26" s="1">
        <v>46115</v>
      </c>
      <c r="E26" s="1">
        <v>46116</v>
      </c>
      <c r="G26">
        <v>3</v>
      </c>
      <c r="M26">
        <v>1</v>
      </c>
      <c r="N26">
        <v>1</v>
      </c>
      <c r="O26" t="s">
        <v>81</v>
      </c>
      <c r="P26" t="s">
        <v>30</v>
      </c>
      <c r="Q26" t="s">
        <v>54</v>
      </c>
      <c r="S26" t="s">
        <v>81</v>
      </c>
      <c r="T26" t="s">
        <v>42</v>
      </c>
      <c r="V26">
        <v>43</v>
      </c>
      <c r="AA26" t="s">
        <v>46</v>
      </c>
      <c r="AB26">
        <v>1</v>
      </c>
      <c r="AC26">
        <v>1</v>
      </c>
      <c r="AD26" t="s">
        <v>82</v>
      </c>
      <c r="AF26">
        <v>4</v>
      </c>
    </row>
    <row r="27" spans="1:32" x14ac:dyDescent="0.25">
      <c r="A27">
        <v>7</v>
      </c>
      <c r="B27">
        <v>0</v>
      </c>
      <c r="E27" s="1">
        <v>46116</v>
      </c>
      <c r="G27">
        <v>2</v>
      </c>
      <c r="M27">
        <v>1</v>
      </c>
      <c r="N27">
        <v>1</v>
      </c>
      <c r="O27" t="s">
        <v>83</v>
      </c>
      <c r="P27" t="s">
        <v>30</v>
      </c>
      <c r="Q27" t="s">
        <v>54</v>
      </c>
      <c r="S27" t="s">
        <v>83</v>
      </c>
      <c r="T27" t="s">
        <v>31</v>
      </c>
      <c r="W27">
        <v>4</v>
      </c>
      <c r="AA27" t="s">
        <v>33</v>
      </c>
      <c r="AB27">
        <v>1</v>
      </c>
      <c r="AC27">
        <v>1</v>
      </c>
      <c r="AD27" t="s">
        <v>65</v>
      </c>
      <c r="AF27">
        <v>2</v>
      </c>
    </row>
    <row r="28" spans="1:32" x14ac:dyDescent="0.25">
      <c r="A28">
        <v>7</v>
      </c>
      <c r="B28" s="1">
        <v>46113</v>
      </c>
      <c r="E28" s="1">
        <v>46116</v>
      </c>
      <c r="G28">
        <v>2</v>
      </c>
      <c r="M28">
        <v>1</v>
      </c>
      <c r="N28">
        <v>1</v>
      </c>
      <c r="O28" t="s">
        <v>31</v>
      </c>
      <c r="P28" t="s">
        <v>30</v>
      </c>
      <c r="Q28" t="s">
        <v>54</v>
      </c>
      <c r="S28" t="s">
        <v>31</v>
      </c>
      <c r="T28" t="s">
        <v>31</v>
      </c>
      <c r="AA28" t="s">
        <v>33</v>
      </c>
      <c r="AB28">
        <v>1</v>
      </c>
      <c r="AC28">
        <v>1</v>
      </c>
      <c r="AD28" t="s">
        <v>72</v>
      </c>
      <c r="AF28">
        <v>2</v>
      </c>
    </row>
    <row r="29" spans="1:32" x14ac:dyDescent="0.25">
      <c r="A29">
        <v>7</v>
      </c>
      <c r="B29" s="1">
        <v>46237</v>
      </c>
      <c r="E29" s="1">
        <v>46116</v>
      </c>
      <c r="G29">
        <v>3</v>
      </c>
      <c r="M29">
        <v>1</v>
      </c>
      <c r="N29">
        <v>1</v>
      </c>
      <c r="O29" t="s">
        <v>56</v>
      </c>
      <c r="P29" t="s">
        <v>30</v>
      </c>
      <c r="Q29" t="s">
        <v>54</v>
      </c>
      <c r="S29" t="s">
        <v>56</v>
      </c>
      <c r="T29" t="s">
        <v>54</v>
      </c>
      <c r="V29">
        <v>6</v>
      </c>
      <c r="AA29" t="s">
        <v>33</v>
      </c>
      <c r="AB29">
        <v>1</v>
      </c>
      <c r="AC29">
        <v>1</v>
      </c>
      <c r="AD29" t="s">
        <v>84</v>
      </c>
      <c r="AF29">
        <v>0</v>
      </c>
    </row>
    <row r="30" spans="1:32" x14ac:dyDescent="0.25">
      <c r="A30">
        <v>7</v>
      </c>
      <c r="B30" s="1">
        <v>46054</v>
      </c>
      <c r="E30" s="1">
        <v>46116</v>
      </c>
      <c r="G30">
        <v>1</v>
      </c>
      <c r="M30">
        <v>1</v>
      </c>
      <c r="N30">
        <v>1</v>
      </c>
      <c r="O30" t="s">
        <v>58</v>
      </c>
      <c r="P30" t="s">
        <v>30</v>
      </c>
      <c r="Q30" t="s">
        <v>54</v>
      </c>
      <c r="S30" t="s">
        <v>58</v>
      </c>
      <c r="T30" t="s">
        <v>59</v>
      </c>
      <c r="V30">
        <v>6</v>
      </c>
      <c r="W30">
        <v>2</v>
      </c>
      <c r="AA30" t="s">
        <v>33</v>
      </c>
      <c r="AB30">
        <v>1</v>
      </c>
      <c r="AC30">
        <v>1</v>
      </c>
      <c r="AD30" t="s">
        <v>85</v>
      </c>
      <c r="AF30">
        <v>-2</v>
      </c>
    </row>
    <row r="31" spans="1:32" x14ac:dyDescent="0.25">
      <c r="A31">
        <v>7</v>
      </c>
      <c r="B31" s="1">
        <v>46239</v>
      </c>
      <c r="E31" s="1">
        <v>46116</v>
      </c>
      <c r="G31">
        <v>1</v>
      </c>
      <c r="M31">
        <v>1</v>
      </c>
      <c r="N31">
        <v>1</v>
      </c>
      <c r="O31" t="s">
        <v>62</v>
      </c>
      <c r="P31" t="s">
        <v>30</v>
      </c>
      <c r="Q31" t="s">
        <v>54</v>
      </c>
      <c r="S31" t="s">
        <v>62</v>
      </c>
      <c r="T31" t="s">
        <v>59</v>
      </c>
      <c r="V31">
        <v>6</v>
      </c>
      <c r="AA31" t="s">
        <v>33</v>
      </c>
      <c r="AB31">
        <v>1</v>
      </c>
      <c r="AC31">
        <v>1</v>
      </c>
      <c r="AD31" t="s">
        <v>86</v>
      </c>
      <c r="AF31">
        <v>-2</v>
      </c>
    </row>
    <row r="32" spans="1:32" x14ac:dyDescent="0.25">
      <c r="A32">
        <v>7</v>
      </c>
      <c r="B32" s="1">
        <v>46115</v>
      </c>
      <c r="E32" s="1">
        <v>46116</v>
      </c>
      <c r="G32">
        <v>4</v>
      </c>
      <c r="M32">
        <v>1</v>
      </c>
      <c r="N32">
        <v>1</v>
      </c>
      <c r="O32" t="s">
        <v>87</v>
      </c>
      <c r="P32" t="s">
        <v>30</v>
      </c>
      <c r="Q32" t="s">
        <v>54</v>
      </c>
      <c r="S32" t="s">
        <v>87</v>
      </c>
      <c r="T32" t="s">
        <v>88</v>
      </c>
      <c r="U32" t="s">
        <v>38</v>
      </c>
      <c r="V32">
        <v>64</v>
      </c>
      <c r="AA32" t="s">
        <v>38</v>
      </c>
      <c r="AB32">
        <v>1</v>
      </c>
      <c r="AC32">
        <v>1</v>
      </c>
      <c r="AD32" t="s">
        <v>89</v>
      </c>
      <c r="AF32">
        <v>-2</v>
      </c>
    </row>
    <row r="33" spans="1:32" x14ac:dyDescent="0.25">
      <c r="A33">
        <v>8</v>
      </c>
      <c r="B33">
        <v>0</v>
      </c>
      <c r="E33" s="1">
        <v>46116</v>
      </c>
      <c r="G33">
        <v>3</v>
      </c>
      <c r="M33">
        <v>1</v>
      </c>
      <c r="N33">
        <v>1</v>
      </c>
      <c r="O33" t="s">
        <v>90</v>
      </c>
      <c r="P33" t="s">
        <v>30</v>
      </c>
      <c r="Q33" t="s">
        <v>54</v>
      </c>
      <c r="S33" t="s">
        <v>90</v>
      </c>
      <c r="T33" t="s">
        <v>42</v>
      </c>
      <c r="V33">
        <v>7</v>
      </c>
      <c r="W33">
        <v>4</v>
      </c>
      <c r="AA33" t="s">
        <v>46</v>
      </c>
      <c r="AB33">
        <v>1</v>
      </c>
      <c r="AC33">
        <v>1</v>
      </c>
      <c r="AD33" t="s">
        <v>91</v>
      </c>
      <c r="AF33">
        <v>3</v>
      </c>
    </row>
    <row r="34" spans="1:32" x14ac:dyDescent="0.25">
      <c r="A34">
        <v>8</v>
      </c>
      <c r="B34" s="1">
        <v>46235</v>
      </c>
      <c r="E34" s="1">
        <v>46116</v>
      </c>
      <c r="G34">
        <v>3</v>
      </c>
      <c r="M34">
        <v>1</v>
      </c>
      <c r="N34">
        <v>1</v>
      </c>
      <c r="O34" t="s">
        <v>45</v>
      </c>
      <c r="P34" t="s">
        <v>30</v>
      </c>
      <c r="Q34" t="s">
        <v>54</v>
      </c>
      <c r="S34" t="s">
        <v>45</v>
      </c>
      <c r="T34" t="s">
        <v>42</v>
      </c>
      <c r="V34">
        <v>7</v>
      </c>
      <c r="AA34" t="s">
        <v>46</v>
      </c>
      <c r="AB34">
        <v>1</v>
      </c>
      <c r="AC34">
        <v>1</v>
      </c>
      <c r="AD34" t="s">
        <v>92</v>
      </c>
      <c r="AF34">
        <v>3</v>
      </c>
    </row>
    <row r="35" spans="1:32" x14ac:dyDescent="0.25">
      <c r="A35">
        <v>8</v>
      </c>
      <c r="B35" s="1">
        <v>46113</v>
      </c>
      <c r="E35" s="1">
        <v>46116</v>
      </c>
      <c r="G35">
        <v>3</v>
      </c>
      <c r="M35">
        <v>1</v>
      </c>
      <c r="N35">
        <v>1</v>
      </c>
      <c r="O35" t="s">
        <v>93</v>
      </c>
      <c r="P35" t="s">
        <v>30</v>
      </c>
      <c r="Q35" t="s">
        <v>54</v>
      </c>
      <c r="S35" t="s">
        <v>93</v>
      </c>
      <c r="T35" t="s">
        <v>42</v>
      </c>
      <c r="W35">
        <v>64</v>
      </c>
      <c r="AA35" t="s">
        <v>43</v>
      </c>
      <c r="AB35">
        <v>1</v>
      </c>
      <c r="AC35">
        <v>1</v>
      </c>
      <c r="AD35" t="s">
        <v>94</v>
      </c>
      <c r="AF35">
        <v>3</v>
      </c>
    </row>
    <row r="36" spans="1:32" x14ac:dyDescent="0.25">
      <c r="A36">
        <v>8</v>
      </c>
      <c r="B36" s="1">
        <v>46054</v>
      </c>
      <c r="E36" s="1">
        <v>46116</v>
      </c>
      <c r="G36">
        <v>3</v>
      </c>
      <c r="M36">
        <v>1</v>
      </c>
      <c r="N36">
        <v>1</v>
      </c>
      <c r="O36" t="s">
        <v>64</v>
      </c>
      <c r="P36" t="s">
        <v>30</v>
      </c>
      <c r="Q36" t="s">
        <v>54</v>
      </c>
      <c r="S36" t="s">
        <v>64</v>
      </c>
      <c r="T36" t="s">
        <v>42</v>
      </c>
      <c r="W36">
        <v>4</v>
      </c>
      <c r="AA36" t="s">
        <v>43</v>
      </c>
      <c r="AB36">
        <v>1</v>
      </c>
      <c r="AC36">
        <v>1</v>
      </c>
      <c r="AD36" t="s">
        <v>95</v>
      </c>
      <c r="AF36">
        <v>3</v>
      </c>
    </row>
    <row r="37" spans="1:32" x14ac:dyDescent="0.25">
      <c r="A37">
        <v>8</v>
      </c>
      <c r="B37" s="1">
        <v>46115</v>
      </c>
      <c r="E37" s="1">
        <v>46116</v>
      </c>
      <c r="G37">
        <v>3</v>
      </c>
      <c r="M37">
        <v>1</v>
      </c>
      <c r="N37">
        <v>1</v>
      </c>
      <c r="O37" t="s">
        <v>42</v>
      </c>
      <c r="P37" t="s">
        <v>30</v>
      </c>
      <c r="Q37" t="s">
        <v>54</v>
      </c>
      <c r="S37" t="s">
        <v>42</v>
      </c>
      <c r="T37" t="s">
        <v>42</v>
      </c>
      <c r="AA37" t="s">
        <v>43</v>
      </c>
      <c r="AB37">
        <v>1</v>
      </c>
      <c r="AC37">
        <v>1</v>
      </c>
      <c r="AD37" t="s">
        <v>96</v>
      </c>
      <c r="AF37">
        <v>3</v>
      </c>
    </row>
    <row r="38" spans="1:32" x14ac:dyDescent="0.25">
      <c r="A38">
        <v>9</v>
      </c>
      <c r="B38">
        <v>0</v>
      </c>
      <c r="E38" s="1">
        <v>46116</v>
      </c>
      <c r="G38">
        <v>2</v>
      </c>
      <c r="M38">
        <v>1</v>
      </c>
      <c r="N38">
        <v>1</v>
      </c>
      <c r="O38" t="s">
        <v>48</v>
      </c>
      <c r="P38" t="s">
        <v>30</v>
      </c>
      <c r="Q38" t="s">
        <v>54</v>
      </c>
      <c r="S38" t="s">
        <v>31</v>
      </c>
      <c r="T38" t="s">
        <v>31</v>
      </c>
      <c r="Z38" t="s">
        <v>49</v>
      </c>
      <c r="AA38" t="s">
        <v>33</v>
      </c>
      <c r="AB38">
        <v>1</v>
      </c>
      <c r="AC38">
        <v>1</v>
      </c>
      <c r="AD38" t="s">
        <v>72</v>
      </c>
      <c r="AF38">
        <v>2</v>
      </c>
    </row>
    <row r="39" spans="1:32" x14ac:dyDescent="0.25">
      <c r="A39">
        <v>9</v>
      </c>
      <c r="B39" s="2">
        <v>48458</v>
      </c>
      <c r="E39" s="1">
        <v>46116</v>
      </c>
      <c r="G39">
        <v>1</v>
      </c>
      <c r="M39">
        <v>1</v>
      </c>
      <c r="N39">
        <v>1</v>
      </c>
      <c r="O39" t="s">
        <v>97</v>
      </c>
      <c r="P39" t="s">
        <v>30</v>
      </c>
      <c r="Q39" t="s">
        <v>31</v>
      </c>
      <c r="S39" t="s">
        <v>79</v>
      </c>
      <c r="T39" t="s">
        <v>31</v>
      </c>
      <c r="V39">
        <v>6</v>
      </c>
      <c r="Z39" t="s">
        <v>32</v>
      </c>
      <c r="AA39" t="s">
        <v>33</v>
      </c>
      <c r="AB39">
        <v>1</v>
      </c>
      <c r="AC39">
        <v>1</v>
      </c>
      <c r="AD39" t="s">
        <v>86</v>
      </c>
      <c r="AF39">
        <v>-2</v>
      </c>
    </row>
    <row r="40" spans="1:32" x14ac:dyDescent="0.25">
      <c r="A40">
        <v>9</v>
      </c>
      <c r="B40" s="1">
        <v>46054</v>
      </c>
      <c r="E40" s="1">
        <v>46116</v>
      </c>
      <c r="G40">
        <v>6</v>
      </c>
      <c r="M40">
        <v>1</v>
      </c>
      <c r="N40">
        <v>1</v>
      </c>
      <c r="O40" t="s">
        <v>98</v>
      </c>
      <c r="P40" t="s">
        <v>30</v>
      </c>
      <c r="Q40" t="s">
        <v>31</v>
      </c>
      <c r="S40" t="s">
        <v>98</v>
      </c>
      <c r="T40" t="s">
        <v>37</v>
      </c>
      <c r="U40" t="s">
        <v>38</v>
      </c>
      <c r="V40">
        <v>65</v>
      </c>
      <c r="AA40" t="s">
        <v>99</v>
      </c>
      <c r="AB40">
        <v>1</v>
      </c>
      <c r="AC40">
        <v>1</v>
      </c>
      <c r="AD40" t="s">
        <v>100</v>
      </c>
      <c r="AF40">
        <v>3</v>
      </c>
    </row>
    <row r="41" spans="1:32" x14ac:dyDescent="0.25">
      <c r="A41">
        <v>10</v>
      </c>
      <c r="B41">
        <v>0</v>
      </c>
      <c r="E41" s="1">
        <v>46116</v>
      </c>
      <c r="G41">
        <v>1</v>
      </c>
      <c r="M41">
        <v>1</v>
      </c>
      <c r="N41">
        <v>1</v>
      </c>
      <c r="O41" t="s">
        <v>31</v>
      </c>
      <c r="P41" t="s">
        <v>30</v>
      </c>
      <c r="Q41" t="s">
        <v>31</v>
      </c>
      <c r="S41" t="s">
        <v>31</v>
      </c>
      <c r="T41" t="s">
        <v>31</v>
      </c>
      <c r="AA41" t="s">
        <v>33</v>
      </c>
      <c r="AB41">
        <v>1</v>
      </c>
      <c r="AC41">
        <v>1</v>
      </c>
      <c r="AD41" t="s">
        <v>34</v>
      </c>
      <c r="AF41">
        <v>1</v>
      </c>
    </row>
    <row r="42" spans="1:32" x14ac:dyDescent="0.25">
      <c r="A42">
        <v>10</v>
      </c>
      <c r="B42" s="1">
        <v>46054</v>
      </c>
      <c r="E42" s="1">
        <v>46116</v>
      </c>
      <c r="G42">
        <v>2</v>
      </c>
      <c r="M42">
        <v>1</v>
      </c>
      <c r="N42">
        <v>1</v>
      </c>
      <c r="O42" t="s">
        <v>64</v>
      </c>
      <c r="P42" t="s">
        <v>30</v>
      </c>
      <c r="Q42" t="s">
        <v>31</v>
      </c>
      <c r="S42" t="s">
        <v>64</v>
      </c>
      <c r="T42" t="s">
        <v>42</v>
      </c>
      <c r="W42">
        <v>4</v>
      </c>
      <c r="AA42" t="s">
        <v>43</v>
      </c>
      <c r="AB42">
        <v>1</v>
      </c>
      <c r="AC42">
        <v>1</v>
      </c>
      <c r="AD42" t="s">
        <v>65</v>
      </c>
      <c r="AF42">
        <v>2</v>
      </c>
    </row>
    <row r="43" spans="1:32" x14ac:dyDescent="0.25">
      <c r="A43">
        <v>10</v>
      </c>
      <c r="B43" s="1">
        <v>46239</v>
      </c>
      <c r="E43" s="1">
        <v>46116</v>
      </c>
      <c r="G43">
        <v>2</v>
      </c>
      <c r="M43">
        <v>1</v>
      </c>
      <c r="N43">
        <v>1</v>
      </c>
      <c r="O43" t="s">
        <v>42</v>
      </c>
      <c r="P43" t="s">
        <v>30</v>
      </c>
      <c r="Q43" t="s">
        <v>31</v>
      </c>
      <c r="S43" t="s">
        <v>42</v>
      </c>
      <c r="T43" t="s">
        <v>42</v>
      </c>
      <c r="AA43" t="s">
        <v>43</v>
      </c>
      <c r="AB43">
        <v>1</v>
      </c>
      <c r="AC43">
        <v>1</v>
      </c>
      <c r="AD43" t="s">
        <v>44</v>
      </c>
      <c r="AF43">
        <v>2</v>
      </c>
    </row>
    <row r="44" spans="1:32" x14ac:dyDescent="0.25">
      <c r="A44">
        <v>10</v>
      </c>
      <c r="B44" s="1">
        <v>46115</v>
      </c>
      <c r="E44" s="1">
        <v>46116</v>
      </c>
      <c r="G44">
        <v>1</v>
      </c>
      <c r="M44">
        <v>1</v>
      </c>
      <c r="N44">
        <v>1</v>
      </c>
      <c r="O44" t="s">
        <v>101</v>
      </c>
      <c r="P44" t="s">
        <v>30</v>
      </c>
      <c r="Q44" t="s">
        <v>59</v>
      </c>
      <c r="S44" t="s">
        <v>45</v>
      </c>
      <c r="T44" t="s">
        <v>42</v>
      </c>
      <c r="V44">
        <v>7</v>
      </c>
      <c r="AA44" t="s">
        <v>46</v>
      </c>
      <c r="AB44">
        <v>1</v>
      </c>
      <c r="AC44">
        <v>1</v>
      </c>
      <c r="AD44" t="s">
        <v>102</v>
      </c>
      <c r="AF44">
        <v>1</v>
      </c>
    </row>
    <row r="45" spans="1:32" x14ac:dyDescent="0.25">
      <c r="A45">
        <v>11</v>
      </c>
      <c r="B45">
        <v>0</v>
      </c>
      <c r="E45" s="1">
        <v>46116</v>
      </c>
      <c r="G45">
        <v>0</v>
      </c>
      <c r="M45">
        <v>1</v>
      </c>
      <c r="N45">
        <v>1</v>
      </c>
      <c r="O45" t="s">
        <v>103</v>
      </c>
      <c r="P45" t="s">
        <v>30</v>
      </c>
      <c r="Q45" t="s">
        <v>59</v>
      </c>
      <c r="S45" t="s">
        <v>103</v>
      </c>
      <c r="T45" t="s">
        <v>31</v>
      </c>
      <c r="W45" t="s">
        <v>104</v>
      </c>
      <c r="AA45" t="s">
        <v>33</v>
      </c>
      <c r="AB45">
        <v>1</v>
      </c>
      <c r="AC45">
        <v>1</v>
      </c>
      <c r="AD45" t="s">
        <v>105</v>
      </c>
      <c r="AE45" t="s">
        <v>106</v>
      </c>
      <c r="AF45">
        <v>0</v>
      </c>
    </row>
    <row r="46" spans="1:32" x14ac:dyDescent="0.25">
      <c r="A46">
        <v>11</v>
      </c>
      <c r="B46" s="1">
        <v>46235</v>
      </c>
      <c r="E46" s="1">
        <v>46116</v>
      </c>
      <c r="G46">
        <v>0</v>
      </c>
      <c r="M46">
        <v>1</v>
      </c>
      <c r="N46">
        <v>1</v>
      </c>
      <c r="O46" t="s">
        <v>79</v>
      </c>
      <c r="P46" t="s">
        <v>30</v>
      </c>
      <c r="Q46" t="s">
        <v>59</v>
      </c>
      <c r="S46" t="s">
        <v>79</v>
      </c>
      <c r="T46" t="s">
        <v>31</v>
      </c>
      <c r="V46">
        <v>6</v>
      </c>
      <c r="AA46" t="s">
        <v>33</v>
      </c>
      <c r="AB46">
        <v>1</v>
      </c>
      <c r="AC46">
        <v>1</v>
      </c>
      <c r="AD46" t="s">
        <v>63</v>
      </c>
      <c r="AF46">
        <v>-3</v>
      </c>
    </row>
    <row r="47" spans="1:32" x14ac:dyDescent="0.25">
      <c r="A47">
        <v>11</v>
      </c>
      <c r="B47" s="1">
        <v>46113</v>
      </c>
      <c r="E47" s="1">
        <v>46116</v>
      </c>
      <c r="G47">
        <v>2</v>
      </c>
      <c r="M47">
        <v>1</v>
      </c>
      <c r="N47">
        <v>1</v>
      </c>
      <c r="O47" t="s">
        <v>107</v>
      </c>
      <c r="P47" t="s">
        <v>30</v>
      </c>
      <c r="Q47" t="s">
        <v>59</v>
      </c>
      <c r="S47" t="s">
        <v>107</v>
      </c>
      <c r="T47" t="s">
        <v>108</v>
      </c>
      <c r="U47" t="s">
        <v>38</v>
      </c>
      <c r="V47">
        <v>6</v>
      </c>
      <c r="X47" t="s">
        <v>109</v>
      </c>
      <c r="AA47" t="s">
        <v>38</v>
      </c>
      <c r="AB47">
        <v>1</v>
      </c>
      <c r="AC47">
        <v>1</v>
      </c>
      <c r="AD47" t="s">
        <v>110</v>
      </c>
      <c r="AF47">
        <v>-1</v>
      </c>
    </row>
    <row r="48" spans="1:32" x14ac:dyDescent="0.25">
      <c r="A48">
        <v>11</v>
      </c>
      <c r="B48" s="1">
        <v>46237</v>
      </c>
      <c r="E48" s="1">
        <v>46116</v>
      </c>
      <c r="G48">
        <v>-3</v>
      </c>
      <c r="M48">
        <v>1</v>
      </c>
      <c r="N48">
        <v>1</v>
      </c>
      <c r="O48" t="s">
        <v>111</v>
      </c>
      <c r="P48" t="s">
        <v>30</v>
      </c>
      <c r="Q48" t="s">
        <v>59</v>
      </c>
      <c r="S48" t="s">
        <v>111</v>
      </c>
      <c r="T48" t="s">
        <v>109</v>
      </c>
      <c r="V48">
        <v>6</v>
      </c>
      <c r="AA48" t="s">
        <v>43</v>
      </c>
      <c r="AB48">
        <v>1</v>
      </c>
      <c r="AC48">
        <v>1</v>
      </c>
      <c r="AD48" t="s">
        <v>52</v>
      </c>
      <c r="AF48">
        <v>1</v>
      </c>
    </row>
    <row r="49" spans="1:32" x14ac:dyDescent="0.25">
      <c r="A49">
        <v>11</v>
      </c>
      <c r="B49" s="1">
        <v>46054</v>
      </c>
      <c r="E49" s="1">
        <v>46116</v>
      </c>
      <c r="G49">
        <v>-2</v>
      </c>
      <c r="M49">
        <v>1</v>
      </c>
      <c r="N49">
        <v>1</v>
      </c>
      <c r="O49" t="s">
        <v>112</v>
      </c>
      <c r="P49" t="s">
        <v>30</v>
      </c>
      <c r="Q49" t="s">
        <v>59</v>
      </c>
      <c r="S49" t="s">
        <v>112</v>
      </c>
      <c r="T49" t="s">
        <v>42</v>
      </c>
      <c r="V49">
        <v>2</v>
      </c>
      <c r="X49" t="s">
        <v>109</v>
      </c>
      <c r="AA49" t="s">
        <v>46</v>
      </c>
      <c r="AB49">
        <v>1</v>
      </c>
      <c r="AC49">
        <v>1</v>
      </c>
      <c r="AD49" t="s">
        <v>113</v>
      </c>
      <c r="AF49">
        <v>-4</v>
      </c>
    </row>
    <row r="50" spans="1:32" x14ac:dyDescent="0.25">
      <c r="A50">
        <v>11</v>
      </c>
      <c r="B50" s="1">
        <v>46115</v>
      </c>
      <c r="E50" s="1">
        <v>46116</v>
      </c>
      <c r="G50">
        <v>-2</v>
      </c>
      <c r="M50">
        <v>1</v>
      </c>
      <c r="N50">
        <v>1</v>
      </c>
      <c r="O50" t="s">
        <v>114</v>
      </c>
      <c r="P50" t="s">
        <v>30</v>
      </c>
      <c r="Q50" t="s">
        <v>59</v>
      </c>
      <c r="S50" t="s">
        <v>114</v>
      </c>
      <c r="T50" t="s">
        <v>42</v>
      </c>
      <c r="V50">
        <v>65</v>
      </c>
      <c r="X50" t="s">
        <v>109</v>
      </c>
      <c r="AA50" t="s">
        <v>46</v>
      </c>
      <c r="AB50">
        <v>1</v>
      </c>
      <c r="AC50">
        <v>1</v>
      </c>
      <c r="AD50" t="s">
        <v>115</v>
      </c>
      <c r="AF50">
        <v>2</v>
      </c>
    </row>
    <row r="51" spans="1:32" x14ac:dyDescent="0.25">
      <c r="A51">
        <v>12</v>
      </c>
      <c r="B51">
        <v>0</v>
      </c>
      <c r="E51" s="1">
        <v>46116</v>
      </c>
      <c r="G51">
        <v>-3</v>
      </c>
      <c r="M51">
        <v>1</v>
      </c>
      <c r="N51">
        <v>1</v>
      </c>
      <c r="O51" t="s">
        <v>109</v>
      </c>
      <c r="P51" t="s">
        <v>30</v>
      </c>
      <c r="Q51" t="s">
        <v>59</v>
      </c>
      <c r="S51" t="s">
        <v>109</v>
      </c>
      <c r="T51" t="s">
        <v>109</v>
      </c>
      <c r="AA51" t="s">
        <v>43</v>
      </c>
      <c r="AB51">
        <v>1</v>
      </c>
      <c r="AC51">
        <v>1</v>
      </c>
      <c r="AD51" t="s">
        <v>116</v>
      </c>
      <c r="AF51">
        <v>-3</v>
      </c>
    </row>
    <row r="52" spans="1:32" x14ac:dyDescent="0.25">
      <c r="A52">
        <v>12</v>
      </c>
      <c r="B52" s="1">
        <v>46113</v>
      </c>
      <c r="E52" s="1">
        <v>46116</v>
      </c>
      <c r="G52">
        <v>-3</v>
      </c>
      <c r="M52">
        <v>1</v>
      </c>
      <c r="N52">
        <v>1</v>
      </c>
      <c r="O52" t="s">
        <v>117</v>
      </c>
      <c r="P52" t="s">
        <v>30</v>
      </c>
      <c r="Q52" t="s">
        <v>59</v>
      </c>
      <c r="S52" t="s">
        <v>117</v>
      </c>
      <c r="T52" t="s">
        <v>42</v>
      </c>
      <c r="V52">
        <v>7</v>
      </c>
      <c r="X52" t="s">
        <v>118</v>
      </c>
      <c r="AA52" t="s">
        <v>46</v>
      </c>
      <c r="AB52">
        <v>1</v>
      </c>
      <c r="AC52">
        <v>1</v>
      </c>
      <c r="AD52" t="s">
        <v>119</v>
      </c>
      <c r="AF52">
        <v>-3</v>
      </c>
    </row>
    <row r="53" spans="1:32" x14ac:dyDescent="0.25">
      <c r="A53">
        <v>12</v>
      </c>
      <c r="B53" s="1">
        <v>46054</v>
      </c>
      <c r="E53" s="1">
        <v>46116</v>
      </c>
      <c r="G53">
        <v>-4</v>
      </c>
      <c r="M53">
        <v>1</v>
      </c>
      <c r="N53">
        <v>1</v>
      </c>
      <c r="O53" t="s">
        <v>118</v>
      </c>
      <c r="P53" t="s">
        <v>30</v>
      </c>
      <c r="Q53" t="s">
        <v>59</v>
      </c>
      <c r="S53" t="s">
        <v>118</v>
      </c>
      <c r="T53" t="s">
        <v>120</v>
      </c>
      <c r="X53" t="s">
        <v>109</v>
      </c>
      <c r="AA53" t="s">
        <v>43</v>
      </c>
      <c r="AB53">
        <v>1</v>
      </c>
      <c r="AC53">
        <v>1</v>
      </c>
      <c r="AD53" t="s">
        <v>121</v>
      </c>
      <c r="AF53">
        <v>-4</v>
      </c>
    </row>
    <row r="54" spans="1:32" x14ac:dyDescent="0.25">
      <c r="A54">
        <v>12</v>
      </c>
      <c r="B54" s="1">
        <v>46239</v>
      </c>
      <c r="E54" s="1">
        <v>46116</v>
      </c>
      <c r="G54">
        <v>-1</v>
      </c>
      <c r="M54">
        <v>1</v>
      </c>
      <c r="N54">
        <v>1</v>
      </c>
      <c r="O54" t="s">
        <v>122</v>
      </c>
      <c r="P54" t="s">
        <v>30</v>
      </c>
      <c r="Q54" t="s">
        <v>59</v>
      </c>
      <c r="S54" t="s">
        <v>122</v>
      </c>
      <c r="T54" t="s">
        <v>88</v>
      </c>
      <c r="V54">
        <v>6</v>
      </c>
      <c r="X54" t="s">
        <v>109</v>
      </c>
      <c r="AA54" t="s">
        <v>33</v>
      </c>
      <c r="AB54">
        <v>1</v>
      </c>
      <c r="AC54">
        <v>1</v>
      </c>
      <c r="AD54" t="s">
        <v>123</v>
      </c>
      <c r="AF54">
        <v>-4</v>
      </c>
    </row>
    <row r="55" spans="1:32" x14ac:dyDescent="0.25">
      <c r="A55">
        <v>12</v>
      </c>
      <c r="B55" s="1">
        <v>46115</v>
      </c>
      <c r="E55" s="1">
        <v>46116</v>
      </c>
      <c r="G55">
        <v>-2</v>
      </c>
      <c r="M55">
        <v>1</v>
      </c>
      <c r="N55">
        <v>1</v>
      </c>
      <c r="O55" t="s">
        <v>124</v>
      </c>
      <c r="P55" t="s">
        <v>30</v>
      </c>
      <c r="Q55" t="s">
        <v>59</v>
      </c>
      <c r="S55" t="s">
        <v>124</v>
      </c>
      <c r="T55" t="s">
        <v>42</v>
      </c>
      <c r="W55">
        <v>4</v>
      </c>
      <c r="X55" t="s">
        <v>109</v>
      </c>
      <c r="AA55" t="s">
        <v>43</v>
      </c>
      <c r="AB55">
        <v>1</v>
      </c>
      <c r="AC55">
        <v>1</v>
      </c>
      <c r="AD55" t="s">
        <v>125</v>
      </c>
      <c r="AF55">
        <v>-2</v>
      </c>
    </row>
    <row r="56" spans="1:32" x14ac:dyDescent="0.25">
      <c r="A56">
        <v>12</v>
      </c>
      <c r="B56" s="1">
        <v>46241</v>
      </c>
      <c r="E56" s="1">
        <v>46116</v>
      </c>
      <c r="G56">
        <v>-2</v>
      </c>
      <c r="M56">
        <v>1</v>
      </c>
      <c r="N56">
        <v>1</v>
      </c>
      <c r="O56" t="s">
        <v>126</v>
      </c>
      <c r="P56" t="s">
        <v>30</v>
      </c>
      <c r="Q56" t="s">
        <v>59</v>
      </c>
      <c r="S56" t="s">
        <v>126</v>
      </c>
      <c r="T56" t="s">
        <v>42</v>
      </c>
      <c r="X56" t="s">
        <v>109</v>
      </c>
      <c r="AA56" t="s">
        <v>43</v>
      </c>
      <c r="AB56">
        <v>1</v>
      </c>
      <c r="AC56">
        <v>1</v>
      </c>
      <c r="AD56" t="s">
        <v>127</v>
      </c>
      <c r="AF56">
        <v>-2</v>
      </c>
    </row>
    <row r="57" spans="1:32" x14ac:dyDescent="0.25">
      <c r="A57">
        <v>13</v>
      </c>
      <c r="B57">
        <v>0</v>
      </c>
      <c r="E57" s="1">
        <v>46116</v>
      </c>
      <c r="G57">
        <v>3</v>
      </c>
      <c r="M57">
        <v>1</v>
      </c>
      <c r="N57">
        <v>1</v>
      </c>
      <c r="O57" t="s">
        <v>128</v>
      </c>
      <c r="P57" t="s">
        <v>30</v>
      </c>
      <c r="Q57" t="s">
        <v>59</v>
      </c>
      <c r="S57" t="s">
        <v>129</v>
      </c>
      <c r="T57" t="s">
        <v>108</v>
      </c>
      <c r="U57" t="s">
        <v>38</v>
      </c>
      <c r="V57">
        <v>7</v>
      </c>
      <c r="X57" t="s">
        <v>126</v>
      </c>
      <c r="Z57" t="s">
        <v>49</v>
      </c>
      <c r="AA57" t="s">
        <v>99</v>
      </c>
      <c r="AB57">
        <v>1</v>
      </c>
      <c r="AC57">
        <v>1</v>
      </c>
      <c r="AD57" t="s">
        <v>130</v>
      </c>
      <c r="AF57">
        <v>3</v>
      </c>
    </row>
    <row r="58" spans="1:32" x14ac:dyDescent="0.25">
      <c r="A58">
        <v>13</v>
      </c>
      <c r="B58" s="1">
        <v>46113</v>
      </c>
      <c r="E58" s="1">
        <v>46116</v>
      </c>
      <c r="G58">
        <v>5</v>
      </c>
      <c r="M58">
        <v>1</v>
      </c>
      <c r="N58">
        <v>1</v>
      </c>
      <c r="O58" t="s">
        <v>131</v>
      </c>
      <c r="P58" t="s">
        <v>30</v>
      </c>
      <c r="Q58" t="s">
        <v>59</v>
      </c>
      <c r="S58" t="s">
        <v>132</v>
      </c>
      <c r="T58" t="s">
        <v>37</v>
      </c>
      <c r="U58" t="s">
        <v>38</v>
      </c>
      <c r="V58">
        <v>7</v>
      </c>
      <c r="Z58" t="s">
        <v>32</v>
      </c>
      <c r="AA58" t="s">
        <v>99</v>
      </c>
      <c r="AB58">
        <v>1</v>
      </c>
      <c r="AC58">
        <v>1</v>
      </c>
      <c r="AD58" t="s">
        <v>133</v>
      </c>
      <c r="AF58">
        <v>5</v>
      </c>
    </row>
    <row r="59" spans="1:32" x14ac:dyDescent="0.25">
      <c r="A59">
        <v>13</v>
      </c>
      <c r="B59" s="1">
        <v>46054</v>
      </c>
      <c r="E59" s="1">
        <v>46116</v>
      </c>
      <c r="G59">
        <v>0</v>
      </c>
      <c r="M59">
        <v>1</v>
      </c>
      <c r="N59">
        <v>1</v>
      </c>
      <c r="O59" t="s">
        <v>79</v>
      </c>
      <c r="P59" t="s">
        <v>30</v>
      </c>
      <c r="Q59" t="s">
        <v>59</v>
      </c>
      <c r="S59" t="s">
        <v>79</v>
      </c>
      <c r="T59" t="s">
        <v>31</v>
      </c>
      <c r="V59">
        <v>6</v>
      </c>
      <c r="AA59" t="s">
        <v>33</v>
      </c>
      <c r="AB59">
        <v>1</v>
      </c>
      <c r="AC59">
        <v>1</v>
      </c>
      <c r="AD59" t="s">
        <v>63</v>
      </c>
      <c r="AF59">
        <v>-3</v>
      </c>
    </row>
    <row r="60" spans="1:32" x14ac:dyDescent="0.25">
      <c r="A60">
        <v>13</v>
      </c>
      <c r="B60" s="1">
        <v>46115</v>
      </c>
      <c r="E60" s="1">
        <v>46116</v>
      </c>
      <c r="G60">
        <v>1</v>
      </c>
      <c r="M60">
        <v>1</v>
      </c>
      <c r="N60">
        <v>1</v>
      </c>
      <c r="O60" t="s">
        <v>42</v>
      </c>
      <c r="P60" t="s">
        <v>30</v>
      </c>
      <c r="Q60" t="s">
        <v>59</v>
      </c>
      <c r="S60" t="s">
        <v>42</v>
      </c>
      <c r="T60" t="s">
        <v>42</v>
      </c>
      <c r="AA60" t="s">
        <v>43</v>
      </c>
      <c r="AB60">
        <v>1</v>
      </c>
      <c r="AC60">
        <v>1</v>
      </c>
      <c r="AD60" t="s">
        <v>134</v>
      </c>
      <c r="AF60">
        <v>1</v>
      </c>
    </row>
    <row r="61" spans="1:32" x14ac:dyDescent="0.25">
      <c r="A61">
        <v>14</v>
      </c>
      <c r="B61">
        <v>0</v>
      </c>
      <c r="E61" s="1">
        <v>46116</v>
      </c>
      <c r="G61">
        <v>0</v>
      </c>
      <c r="M61">
        <v>1</v>
      </c>
      <c r="N61">
        <v>1</v>
      </c>
      <c r="O61" t="s">
        <v>135</v>
      </c>
      <c r="P61" t="s">
        <v>30</v>
      </c>
      <c r="Q61" t="s">
        <v>59</v>
      </c>
      <c r="S61" t="s">
        <v>31</v>
      </c>
      <c r="T61" t="s">
        <v>31</v>
      </c>
      <c r="Z61" t="s">
        <v>136</v>
      </c>
      <c r="AA61" t="s">
        <v>33</v>
      </c>
      <c r="AB61">
        <v>1</v>
      </c>
      <c r="AC61">
        <v>1</v>
      </c>
      <c r="AD61" t="s">
        <v>105</v>
      </c>
      <c r="AF61">
        <v>0</v>
      </c>
    </row>
    <row r="62" spans="1:32" x14ac:dyDescent="0.25">
      <c r="A62">
        <v>14</v>
      </c>
      <c r="B62" s="1">
        <v>46054</v>
      </c>
      <c r="E62" s="1">
        <v>46116</v>
      </c>
      <c r="G62">
        <v>5</v>
      </c>
      <c r="M62">
        <v>1</v>
      </c>
      <c r="N62">
        <v>1</v>
      </c>
      <c r="O62" t="s">
        <v>36</v>
      </c>
      <c r="P62" t="s">
        <v>30</v>
      </c>
      <c r="Q62" t="s">
        <v>59</v>
      </c>
      <c r="S62" t="s">
        <v>36</v>
      </c>
      <c r="T62" t="s">
        <v>37</v>
      </c>
      <c r="U62" t="s">
        <v>38</v>
      </c>
      <c r="V62">
        <v>6</v>
      </c>
      <c r="W62">
        <v>2</v>
      </c>
      <c r="AA62" t="s">
        <v>38</v>
      </c>
      <c r="AB62">
        <v>1</v>
      </c>
      <c r="AC62">
        <v>1</v>
      </c>
      <c r="AD62" t="s">
        <v>137</v>
      </c>
      <c r="AF62">
        <v>2</v>
      </c>
    </row>
    <row r="63" spans="1:32" x14ac:dyDescent="0.25">
      <c r="A63">
        <v>14</v>
      </c>
      <c r="B63" s="1">
        <v>46239</v>
      </c>
      <c r="E63" s="1">
        <v>46116</v>
      </c>
      <c r="G63">
        <v>5</v>
      </c>
      <c r="M63">
        <v>1</v>
      </c>
      <c r="N63">
        <v>1</v>
      </c>
      <c r="O63" t="s">
        <v>40</v>
      </c>
      <c r="P63" t="s">
        <v>30</v>
      </c>
      <c r="Q63" t="s">
        <v>59</v>
      </c>
      <c r="S63" t="s">
        <v>40</v>
      </c>
      <c r="T63" t="s">
        <v>37</v>
      </c>
      <c r="U63" t="s">
        <v>38</v>
      </c>
      <c r="V63">
        <v>6</v>
      </c>
      <c r="AA63" t="s">
        <v>38</v>
      </c>
      <c r="AB63">
        <v>1</v>
      </c>
      <c r="AC63">
        <v>1</v>
      </c>
      <c r="AD63" t="s">
        <v>138</v>
      </c>
      <c r="AF63">
        <v>2</v>
      </c>
    </row>
    <row r="64" spans="1:32" x14ac:dyDescent="0.25">
      <c r="A64">
        <v>14</v>
      </c>
      <c r="B64" s="1">
        <v>46115</v>
      </c>
      <c r="E64" s="1">
        <v>46116</v>
      </c>
      <c r="G64">
        <v>1</v>
      </c>
      <c r="M64">
        <v>1</v>
      </c>
      <c r="N64">
        <v>1</v>
      </c>
      <c r="O64" t="s">
        <v>42</v>
      </c>
      <c r="P64" t="s">
        <v>30</v>
      </c>
      <c r="Q64" t="s">
        <v>59</v>
      </c>
      <c r="S64" t="s">
        <v>42</v>
      </c>
      <c r="T64" t="s">
        <v>42</v>
      </c>
      <c r="AA64" t="s">
        <v>43</v>
      </c>
      <c r="AB64">
        <v>1</v>
      </c>
      <c r="AC64">
        <v>1</v>
      </c>
      <c r="AD64" t="s">
        <v>134</v>
      </c>
      <c r="AF64">
        <v>1</v>
      </c>
    </row>
    <row r="65" spans="1:32" x14ac:dyDescent="0.25">
      <c r="A65">
        <v>15</v>
      </c>
      <c r="B65">
        <v>0</v>
      </c>
      <c r="E65" s="1">
        <v>46116</v>
      </c>
      <c r="G65">
        <v>1</v>
      </c>
      <c r="M65">
        <v>1</v>
      </c>
      <c r="N65">
        <v>1</v>
      </c>
      <c r="O65" t="s">
        <v>45</v>
      </c>
      <c r="P65" t="s">
        <v>30</v>
      </c>
      <c r="Q65" t="s">
        <v>59</v>
      </c>
      <c r="S65" t="s">
        <v>45</v>
      </c>
      <c r="T65" t="s">
        <v>42</v>
      </c>
      <c r="V65">
        <v>7</v>
      </c>
      <c r="AA65" t="s">
        <v>46</v>
      </c>
      <c r="AB65">
        <v>1</v>
      </c>
      <c r="AC65">
        <v>1</v>
      </c>
      <c r="AD65" t="s">
        <v>102</v>
      </c>
      <c r="AF65">
        <v>1</v>
      </c>
    </row>
    <row r="66" spans="1:32" x14ac:dyDescent="0.25">
      <c r="A66">
        <v>15</v>
      </c>
      <c r="B66" s="1">
        <v>46054</v>
      </c>
      <c r="E66" s="1">
        <v>46116</v>
      </c>
      <c r="G66">
        <v>0</v>
      </c>
      <c r="M66">
        <v>1</v>
      </c>
      <c r="N66">
        <v>1</v>
      </c>
      <c r="O66" t="s">
        <v>48</v>
      </c>
      <c r="P66" t="s">
        <v>30</v>
      </c>
      <c r="Q66" t="s">
        <v>59</v>
      </c>
      <c r="S66" t="s">
        <v>31</v>
      </c>
      <c r="T66" t="s">
        <v>31</v>
      </c>
      <c r="Z66" t="s">
        <v>49</v>
      </c>
      <c r="AA66" t="s">
        <v>33</v>
      </c>
      <c r="AB66">
        <v>1</v>
      </c>
      <c r="AC66">
        <v>1</v>
      </c>
      <c r="AD66" t="s">
        <v>105</v>
      </c>
      <c r="AF66">
        <v>0</v>
      </c>
    </row>
    <row r="67" spans="1:32" x14ac:dyDescent="0.25">
      <c r="A67">
        <v>15</v>
      </c>
      <c r="B67" s="1">
        <v>46115</v>
      </c>
      <c r="E67" s="1">
        <v>46116</v>
      </c>
      <c r="G67">
        <v>-4</v>
      </c>
      <c r="M67">
        <v>1</v>
      </c>
      <c r="N67">
        <v>1</v>
      </c>
      <c r="O67" t="s">
        <v>50</v>
      </c>
      <c r="P67" t="s">
        <v>30</v>
      </c>
      <c r="Q67" t="s">
        <v>59</v>
      </c>
      <c r="S67" t="s">
        <v>50</v>
      </c>
      <c r="T67" t="s">
        <v>51</v>
      </c>
      <c r="V67">
        <v>6</v>
      </c>
      <c r="AA67" t="s">
        <v>43</v>
      </c>
      <c r="AB67">
        <v>1</v>
      </c>
      <c r="AC67">
        <v>1</v>
      </c>
      <c r="AD67" t="s">
        <v>139</v>
      </c>
      <c r="AF67">
        <v>0</v>
      </c>
    </row>
    <row r="68" spans="1:32" x14ac:dyDescent="0.25">
      <c r="A68">
        <v>16</v>
      </c>
      <c r="B68">
        <v>0</v>
      </c>
      <c r="E68" s="1">
        <v>46116</v>
      </c>
      <c r="G68">
        <v>1</v>
      </c>
      <c r="M68">
        <v>1</v>
      </c>
      <c r="N68">
        <v>1</v>
      </c>
      <c r="O68" t="s">
        <v>140</v>
      </c>
      <c r="P68" t="s">
        <v>30</v>
      </c>
      <c r="Q68" t="s">
        <v>59</v>
      </c>
      <c r="S68" t="s">
        <v>140</v>
      </c>
      <c r="T68" t="s">
        <v>54</v>
      </c>
      <c r="V68">
        <v>65</v>
      </c>
      <c r="W68">
        <v>2</v>
      </c>
      <c r="AA68" t="s">
        <v>68</v>
      </c>
      <c r="AB68">
        <v>1</v>
      </c>
      <c r="AC68">
        <v>1</v>
      </c>
      <c r="AD68" t="s">
        <v>141</v>
      </c>
      <c r="AF68">
        <v>-2</v>
      </c>
    </row>
    <row r="69" spans="1:32" x14ac:dyDescent="0.25">
      <c r="A69">
        <v>16</v>
      </c>
      <c r="B69" s="1">
        <v>46113</v>
      </c>
      <c r="E69" s="1">
        <v>46116</v>
      </c>
      <c r="G69">
        <v>1</v>
      </c>
      <c r="M69">
        <v>1</v>
      </c>
      <c r="N69">
        <v>1</v>
      </c>
      <c r="O69" t="s">
        <v>142</v>
      </c>
      <c r="P69" t="s">
        <v>30</v>
      </c>
      <c r="Q69" t="s">
        <v>59</v>
      </c>
      <c r="S69" t="s">
        <v>142</v>
      </c>
      <c r="T69" t="s">
        <v>54</v>
      </c>
      <c r="V69">
        <v>65</v>
      </c>
      <c r="AA69" t="s">
        <v>68</v>
      </c>
      <c r="AB69">
        <v>1</v>
      </c>
      <c r="AC69">
        <v>1</v>
      </c>
      <c r="AD69" t="s">
        <v>143</v>
      </c>
      <c r="AF69">
        <v>-2</v>
      </c>
    </row>
    <row r="70" spans="1:32" x14ac:dyDescent="0.25">
      <c r="A70">
        <v>16</v>
      </c>
      <c r="B70" s="1">
        <v>46237</v>
      </c>
      <c r="E70" s="1">
        <v>46116</v>
      </c>
      <c r="G70">
        <v>1</v>
      </c>
      <c r="M70">
        <v>1</v>
      </c>
      <c r="N70">
        <v>1</v>
      </c>
      <c r="O70" t="s">
        <v>42</v>
      </c>
      <c r="P70" t="s">
        <v>30</v>
      </c>
      <c r="Q70" t="s">
        <v>59</v>
      </c>
      <c r="S70" t="s">
        <v>42</v>
      </c>
      <c r="T70" t="s">
        <v>42</v>
      </c>
      <c r="AA70" t="s">
        <v>43</v>
      </c>
      <c r="AB70">
        <v>1</v>
      </c>
      <c r="AC70">
        <v>1</v>
      </c>
      <c r="AD70" t="s">
        <v>134</v>
      </c>
      <c r="AF70">
        <v>1</v>
      </c>
    </row>
    <row r="71" spans="1:32" x14ac:dyDescent="0.25">
      <c r="A71">
        <v>16</v>
      </c>
      <c r="B71" s="1">
        <v>46054</v>
      </c>
      <c r="E71" s="1">
        <v>46116</v>
      </c>
      <c r="G71">
        <v>-1</v>
      </c>
      <c r="M71">
        <v>1</v>
      </c>
      <c r="N71">
        <v>1</v>
      </c>
      <c r="O71" t="s">
        <v>144</v>
      </c>
      <c r="P71" t="s">
        <v>30</v>
      </c>
      <c r="Q71" t="s">
        <v>59</v>
      </c>
      <c r="S71" t="s">
        <v>144</v>
      </c>
      <c r="T71" t="s">
        <v>59</v>
      </c>
      <c r="V71">
        <v>65</v>
      </c>
      <c r="W71">
        <v>2</v>
      </c>
      <c r="AA71" t="s">
        <v>68</v>
      </c>
      <c r="AB71">
        <v>1</v>
      </c>
      <c r="AC71">
        <v>1</v>
      </c>
      <c r="AD71" t="s">
        <v>145</v>
      </c>
      <c r="AF71">
        <v>-4</v>
      </c>
    </row>
    <row r="72" spans="1:32" x14ac:dyDescent="0.25">
      <c r="A72">
        <v>16</v>
      </c>
      <c r="B72" s="1">
        <v>46115</v>
      </c>
      <c r="E72" s="1">
        <v>46116</v>
      </c>
      <c r="G72">
        <v>-1</v>
      </c>
      <c r="M72">
        <v>1</v>
      </c>
      <c r="N72">
        <v>1</v>
      </c>
      <c r="O72" t="s">
        <v>146</v>
      </c>
      <c r="P72" t="s">
        <v>30</v>
      </c>
      <c r="Q72" t="s">
        <v>59</v>
      </c>
      <c r="S72" t="s">
        <v>146</v>
      </c>
      <c r="T72" t="s">
        <v>59</v>
      </c>
      <c r="V72">
        <v>65</v>
      </c>
      <c r="AA72" t="s">
        <v>68</v>
      </c>
      <c r="AB72">
        <v>1</v>
      </c>
      <c r="AC72">
        <v>1</v>
      </c>
      <c r="AD72" t="s">
        <v>147</v>
      </c>
      <c r="AF72">
        <v>-4</v>
      </c>
    </row>
    <row r="73" spans="1:32" x14ac:dyDescent="0.25">
      <c r="A73">
        <v>17</v>
      </c>
      <c r="B73">
        <v>0</v>
      </c>
      <c r="E73" s="1">
        <v>46116</v>
      </c>
      <c r="G73">
        <v>1</v>
      </c>
      <c r="M73">
        <v>1</v>
      </c>
      <c r="N73">
        <v>1</v>
      </c>
      <c r="O73" t="s">
        <v>64</v>
      </c>
      <c r="P73" t="s">
        <v>30</v>
      </c>
      <c r="Q73" t="s">
        <v>59</v>
      </c>
      <c r="S73" t="s">
        <v>64</v>
      </c>
      <c r="T73" t="s">
        <v>42</v>
      </c>
      <c r="W73">
        <v>4</v>
      </c>
      <c r="AA73" t="s">
        <v>43</v>
      </c>
      <c r="AB73">
        <v>1</v>
      </c>
      <c r="AC73">
        <v>1</v>
      </c>
      <c r="AD73" t="s">
        <v>148</v>
      </c>
      <c r="AF73">
        <v>1</v>
      </c>
    </row>
    <row r="74" spans="1:32" x14ac:dyDescent="0.25">
      <c r="A74">
        <v>17</v>
      </c>
      <c r="B74" s="1">
        <v>46235</v>
      </c>
      <c r="E74" s="1">
        <v>46116</v>
      </c>
      <c r="G74">
        <v>1</v>
      </c>
      <c r="M74">
        <v>1</v>
      </c>
      <c r="N74">
        <v>1</v>
      </c>
      <c r="O74" t="s">
        <v>42</v>
      </c>
      <c r="P74" t="s">
        <v>30</v>
      </c>
      <c r="Q74" t="s">
        <v>59</v>
      </c>
      <c r="S74" t="s">
        <v>42</v>
      </c>
      <c r="T74" t="s">
        <v>42</v>
      </c>
      <c r="AA74" t="s">
        <v>43</v>
      </c>
      <c r="AB74">
        <v>1</v>
      </c>
      <c r="AC74">
        <v>1</v>
      </c>
      <c r="AD74" t="s">
        <v>134</v>
      </c>
      <c r="AF74">
        <v>1</v>
      </c>
    </row>
    <row r="75" spans="1:32" x14ac:dyDescent="0.25">
      <c r="A75">
        <v>17</v>
      </c>
      <c r="B75" s="1">
        <v>46113</v>
      </c>
      <c r="E75" s="1">
        <v>46116</v>
      </c>
      <c r="G75">
        <v>1</v>
      </c>
      <c r="M75">
        <v>1</v>
      </c>
      <c r="N75">
        <v>1</v>
      </c>
      <c r="O75" t="s">
        <v>45</v>
      </c>
      <c r="P75" t="s">
        <v>30</v>
      </c>
      <c r="Q75" t="s">
        <v>59</v>
      </c>
      <c r="S75" t="s">
        <v>45</v>
      </c>
      <c r="T75" t="s">
        <v>42</v>
      </c>
      <c r="V75">
        <v>7</v>
      </c>
      <c r="AA75" t="s">
        <v>46</v>
      </c>
      <c r="AB75">
        <v>1</v>
      </c>
      <c r="AC75">
        <v>1</v>
      </c>
      <c r="AD75" t="s">
        <v>102</v>
      </c>
      <c r="AF75">
        <v>1</v>
      </c>
    </row>
    <row r="76" spans="1:32" x14ac:dyDescent="0.25">
      <c r="A76">
        <v>17</v>
      </c>
      <c r="B76" s="1">
        <v>46237</v>
      </c>
      <c r="E76" s="1">
        <v>46116</v>
      </c>
      <c r="G76">
        <v>1</v>
      </c>
      <c r="M76">
        <v>1</v>
      </c>
      <c r="N76">
        <v>1</v>
      </c>
      <c r="O76" t="s">
        <v>149</v>
      </c>
      <c r="P76" t="s">
        <v>30</v>
      </c>
      <c r="Q76" t="s">
        <v>59</v>
      </c>
      <c r="S76" t="s">
        <v>149</v>
      </c>
      <c r="T76" t="s">
        <v>42</v>
      </c>
      <c r="V76">
        <v>65</v>
      </c>
      <c r="AA76" t="s">
        <v>46</v>
      </c>
      <c r="AB76">
        <v>1</v>
      </c>
      <c r="AC76">
        <v>1</v>
      </c>
      <c r="AD76" t="s">
        <v>150</v>
      </c>
      <c r="AF76">
        <v>5</v>
      </c>
    </row>
    <row r="77" spans="1:32" x14ac:dyDescent="0.25">
      <c r="A77">
        <v>17</v>
      </c>
      <c r="B77" s="1">
        <v>46054</v>
      </c>
      <c r="E77" s="1">
        <v>46116</v>
      </c>
      <c r="G77">
        <v>0</v>
      </c>
      <c r="M77">
        <v>1</v>
      </c>
      <c r="N77">
        <v>1</v>
      </c>
      <c r="O77" t="s">
        <v>31</v>
      </c>
      <c r="P77" t="s">
        <v>30</v>
      </c>
      <c r="Q77" t="s">
        <v>59</v>
      </c>
      <c r="S77" t="s">
        <v>31</v>
      </c>
      <c r="T77" t="s">
        <v>31</v>
      </c>
      <c r="AA77" t="s">
        <v>33</v>
      </c>
      <c r="AB77">
        <v>1</v>
      </c>
      <c r="AC77">
        <v>1</v>
      </c>
      <c r="AD77" t="s">
        <v>105</v>
      </c>
      <c r="AF77">
        <v>0</v>
      </c>
    </row>
    <row r="78" spans="1:32" x14ac:dyDescent="0.25">
      <c r="A78">
        <v>18</v>
      </c>
      <c r="B78">
        <v>0</v>
      </c>
      <c r="E78" s="1">
        <v>46116</v>
      </c>
      <c r="G78">
        <v>6</v>
      </c>
      <c r="M78">
        <v>1</v>
      </c>
      <c r="N78">
        <v>1</v>
      </c>
      <c r="O78" t="s">
        <v>151</v>
      </c>
      <c r="P78" t="s">
        <v>30</v>
      </c>
      <c r="Q78" t="s">
        <v>31</v>
      </c>
      <c r="S78" t="s">
        <v>132</v>
      </c>
      <c r="T78" t="s">
        <v>37</v>
      </c>
      <c r="U78" t="s">
        <v>38</v>
      </c>
      <c r="V78">
        <v>7</v>
      </c>
      <c r="AA78" t="s">
        <v>99</v>
      </c>
      <c r="AB78">
        <v>1</v>
      </c>
      <c r="AC78">
        <v>1</v>
      </c>
      <c r="AD78" t="s">
        <v>152</v>
      </c>
      <c r="AF78">
        <v>6</v>
      </c>
    </row>
    <row r="79" spans="1:32" x14ac:dyDescent="0.25">
      <c r="A79">
        <v>18</v>
      </c>
      <c r="B79" s="1">
        <v>46113</v>
      </c>
      <c r="E79" s="1">
        <v>46116</v>
      </c>
      <c r="G79">
        <v>1</v>
      </c>
      <c r="M79">
        <v>1</v>
      </c>
      <c r="N79">
        <v>1</v>
      </c>
      <c r="O79" t="s">
        <v>31</v>
      </c>
      <c r="P79" t="s">
        <v>30</v>
      </c>
      <c r="Q79" t="s">
        <v>31</v>
      </c>
      <c r="S79" t="s">
        <v>31</v>
      </c>
      <c r="T79" t="s">
        <v>31</v>
      </c>
      <c r="AA79" t="s">
        <v>33</v>
      </c>
      <c r="AB79">
        <v>1</v>
      </c>
      <c r="AC79">
        <v>1</v>
      </c>
      <c r="AD79" t="s">
        <v>34</v>
      </c>
      <c r="AF79">
        <v>1</v>
      </c>
    </row>
    <row r="80" spans="1:32" x14ac:dyDescent="0.25">
      <c r="A80">
        <v>18</v>
      </c>
      <c r="B80" s="1">
        <v>46054</v>
      </c>
      <c r="E80" s="1">
        <v>46116</v>
      </c>
      <c r="G80">
        <v>-4</v>
      </c>
      <c r="M80">
        <v>1</v>
      </c>
      <c r="N80">
        <v>1</v>
      </c>
      <c r="O80" t="s">
        <v>73</v>
      </c>
      <c r="P80" t="s">
        <v>30</v>
      </c>
      <c r="Q80" t="s">
        <v>31</v>
      </c>
      <c r="S80" t="s">
        <v>73</v>
      </c>
      <c r="T80" t="s">
        <v>74</v>
      </c>
      <c r="V80">
        <v>6</v>
      </c>
      <c r="W80">
        <v>2</v>
      </c>
      <c r="AA80" t="s">
        <v>43</v>
      </c>
      <c r="AB80">
        <v>1</v>
      </c>
      <c r="AC80">
        <v>1</v>
      </c>
      <c r="AD80" t="s">
        <v>153</v>
      </c>
      <c r="AF80">
        <v>0</v>
      </c>
    </row>
    <row r="81" spans="1:32" x14ac:dyDescent="0.25">
      <c r="A81">
        <v>18</v>
      </c>
      <c r="B81" s="1">
        <v>46239</v>
      </c>
      <c r="E81" s="1">
        <v>46116</v>
      </c>
      <c r="G81">
        <v>-4</v>
      </c>
      <c r="M81">
        <v>1</v>
      </c>
      <c r="N81">
        <v>1</v>
      </c>
      <c r="O81" t="s">
        <v>76</v>
      </c>
      <c r="P81" t="s">
        <v>30</v>
      </c>
      <c r="Q81" t="s">
        <v>31</v>
      </c>
      <c r="S81" t="s">
        <v>76</v>
      </c>
      <c r="T81" t="s">
        <v>74</v>
      </c>
      <c r="V81">
        <v>6</v>
      </c>
      <c r="AA81" t="s">
        <v>43</v>
      </c>
      <c r="AB81">
        <v>1</v>
      </c>
      <c r="AC81">
        <v>1</v>
      </c>
      <c r="AD81" t="s">
        <v>139</v>
      </c>
      <c r="AF81">
        <v>0</v>
      </c>
    </row>
    <row r="82" spans="1:32" x14ac:dyDescent="0.25">
      <c r="A82">
        <v>19</v>
      </c>
      <c r="B82">
        <v>0</v>
      </c>
      <c r="E82" s="1">
        <v>46116</v>
      </c>
      <c r="G82">
        <v>2</v>
      </c>
      <c r="M82">
        <v>1</v>
      </c>
      <c r="N82">
        <v>1</v>
      </c>
      <c r="O82" t="s">
        <v>42</v>
      </c>
      <c r="P82" t="s">
        <v>30</v>
      </c>
      <c r="Q82" t="s">
        <v>31</v>
      </c>
      <c r="S82" t="s">
        <v>42</v>
      </c>
      <c r="T82" t="s">
        <v>42</v>
      </c>
      <c r="AA82" t="s">
        <v>43</v>
      </c>
      <c r="AB82">
        <v>1</v>
      </c>
      <c r="AC82">
        <v>1</v>
      </c>
      <c r="AD82" t="s">
        <v>44</v>
      </c>
      <c r="AF82">
        <v>2</v>
      </c>
    </row>
    <row r="83" spans="1:32" x14ac:dyDescent="0.25">
      <c r="A83">
        <v>19</v>
      </c>
      <c r="B83" s="1">
        <v>46113</v>
      </c>
      <c r="E83" s="1">
        <v>46116</v>
      </c>
      <c r="G83">
        <v>1</v>
      </c>
      <c r="M83">
        <v>1</v>
      </c>
      <c r="N83">
        <v>1</v>
      </c>
      <c r="O83" t="s">
        <v>79</v>
      </c>
      <c r="P83" t="s">
        <v>30</v>
      </c>
      <c r="Q83" t="s">
        <v>31</v>
      </c>
      <c r="S83" t="s">
        <v>79</v>
      </c>
      <c r="T83" t="s">
        <v>31</v>
      </c>
      <c r="V83">
        <v>6</v>
      </c>
      <c r="AA83" t="s">
        <v>33</v>
      </c>
      <c r="AB83">
        <v>1</v>
      </c>
      <c r="AC83">
        <v>1</v>
      </c>
      <c r="AD83" t="s">
        <v>86</v>
      </c>
      <c r="AF83">
        <v>-2</v>
      </c>
    </row>
    <row r="84" spans="1:32" x14ac:dyDescent="0.25">
      <c r="A84">
        <v>19</v>
      </c>
      <c r="B84" s="1">
        <v>46054</v>
      </c>
      <c r="E84" s="1">
        <v>46116</v>
      </c>
      <c r="G84">
        <v>6</v>
      </c>
      <c r="M84">
        <v>1</v>
      </c>
      <c r="N84">
        <v>1</v>
      </c>
      <c r="O84" t="s">
        <v>36</v>
      </c>
      <c r="P84" t="s">
        <v>30</v>
      </c>
      <c r="Q84" t="s">
        <v>31</v>
      </c>
      <c r="S84" t="s">
        <v>36</v>
      </c>
      <c r="T84" t="s">
        <v>37</v>
      </c>
      <c r="U84" t="s">
        <v>38</v>
      </c>
      <c r="V84">
        <v>6</v>
      </c>
      <c r="W84">
        <v>2</v>
      </c>
      <c r="AA84" t="s">
        <v>38</v>
      </c>
      <c r="AB84">
        <v>1</v>
      </c>
      <c r="AC84">
        <v>1</v>
      </c>
      <c r="AD84" t="s">
        <v>39</v>
      </c>
      <c r="AF84">
        <v>3</v>
      </c>
    </row>
    <row r="85" spans="1:32" x14ac:dyDescent="0.25">
      <c r="A85">
        <v>19</v>
      </c>
      <c r="B85" s="1">
        <v>46115</v>
      </c>
      <c r="E85" s="1">
        <v>46116</v>
      </c>
      <c r="G85">
        <v>2</v>
      </c>
      <c r="M85">
        <v>1</v>
      </c>
      <c r="N85">
        <v>1</v>
      </c>
      <c r="O85" t="s">
        <v>81</v>
      </c>
      <c r="P85" t="s">
        <v>30</v>
      </c>
      <c r="Q85" t="s">
        <v>31</v>
      </c>
      <c r="S85" t="s">
        <v>81</v>
      </c>
      <c r="T85" t="s">
        <v>42</v>
      </c>
      <c r="V85">
        <v>43</v>
      </c>
      <c r="AA85" t="s">
        <v>46</v>
      </c>
      <c r="AB85">
        <v>1</v>
      </c>
      <c r="AC85">
        <v>1</v>
      </c>
      <c r="AD85" t="s">
        <v>154</v>
      </c>
      <c r="AF85">
        <v>3</v>
      </c>
    </row>
    <row r="86" spans="1:32" x14ac:dyDescent="0.25">
      <c r="A86">
        <v>20</v>
      </c>
      <c r="B86">
        <v>0</v>
      </c>
      <c r="E86" s="1">
        <v>46116</v>
      </c>
      <c r="G86">
        <v>1</v>
      </c>
      <c r="M86">
        <v>1</v>
      </c>
      <c r="N86">
        <v>1</v>
      </c>
      <c r="O86" t="s">
        <v>83</v>
      </c>
      <c r="P86" t="s">
        <v>30</v>
      </c>
      <c r="Q86" t="s">
        <v>31</v>
      </c>
      <c r="S86" t="s">
        <v>83</v>
      </c>
      <c r="T86" t="s">
        <v>31</v>
      </c>
      <c r="W86">
        <v>4</v>
      </c>
      <c r="AA86" t="s">
        <v>33</v>
      </c>
      <c r="AB86">
        <v>1</v>
      </c>
      <c r="AC86">
        <v>1</v>
      </c>
      <c r="AD86" t="s">
        <v>148</v>
      </c>
      <c r="AF86">
        <v>1</v>
      </c>
    </row>
    <row r="87" spans="1:32" x14ac:dyDescent="0.25">
      <c r="A87">
        <v>20</v>
      </c>
      <c r="B87" s="1">
        <v>46113</v>
      </c>
      <c r="E87" s="1">
        <v>46116</v>
      </c>
      <c r="G87">
        <v>1</v>
      </c>
      <c r="M87">
        <v>1</v>
      </c>
      <c r="N87">
        <v>1</v>
      </c>
      <c r="O87" t="s">
        <v>31</v>
      </c>
      <c r="P87" t="s">
        <v>30</v>
      </c>
      <c r="Q87" t="s">
        <v>31</v>
      </c>
      <c r="S87" t="s">
        <v>31</v>
      </c>
      <c r="T87" t="s">
        <v>31</v>
      </c>
      <c r="AA87" t="s">
        <v>33</v>
      </c>
      <c r="AB87">
        <v>1</v>
      </c>
      <c r="AC87">
        <v>1</v>
      </c>
      <c r="AD87" t="s">
        <v>34</v>
      </c>
      <c r="AF87">
        <v>1</v>
      </c>
    </row>
    <row r="88" spans="1:32" x14ac:dyDescent="0.25">
      <c r="A88">
        <v>20</v>
      </c>
      <c r="B88" s="1">
        <v>46054</v>
      </c>
      <c r="E88" s="1">
        <v>46116</v>
      </c>
      <c r="G88">
        <v>-4</v>
      </c>
      <c r="M88">
        <v>1</v>
      </c>
      <c r="N88">
        <v>1</v>
      </c>
      <c r="O88" t="s">
        <v>76</v>
      </c>
      <c r="P88" t="s">
        <v>30</v>
      </c>
      <c r="Q88" t="s">
        <v>31</v>
      </c>
      <c r="S88" t="s">
        <v>76</v>
      </c>
      <c r="T88" t="s">
        <v>74</v>
      </c>
      <c r="V88">
        <v>6</v>
      </c>
      <c r="AA88" t="s">
        <v>43</v>
      </c>
      <c r="AB88">
        <v>1</v>
      </c>
      <c r="AC88">
        <v>1</v>
      </c>
      <c r="AD88" t="s">
        <v>139</v>
      </c>
      <c r="AF88">
        <v>0</v>
      </c>
    </row>
    <row r="89" spans="1:32" x14ac:dyDescent="0.25">
      <c r="A89">
        <v>21</v>
      </c>
      <c r="B89">
        <v>0</v>
      </c>
      <c r="E89" s="1">
        <v>46116</v>
      </c>
      <c r="G89">
        <v>2</v>
      </c>
      <c r="M89">
        <v>1</v>
      </c>
      <c r="N89">
        <v>1</v>
      </c>
      <c r="O89" t="s">
        <v>155</v>
      </c>
      <c r="P89" t="s">
        <v>30</v>
      </c>
      <c r="Q89" t="s">
        <v>31</v>
      </c>
      <c r="S89" t="s">
        <v>155</v>
      </c>
      <c r="T89" t="s">
        <v>42</v>
      </c>
      <c r="V89">
        <v>2</v>
      </c>
      <c r="W89">
        <v>4</v>
      </c>
      <c r="AA89" t="s">
        <v>46</v>
      </c>
      <c r="AB89">
        <v>1</v>
      </c>
      <c r="AC89">
        <v>1</v>
      </c>
      <c r="AD89" t="s">
        <v>156</v>
      </c>
      <c r="AF89">
        <v>0</v>
      </c>
    </row>
    <row r="90" spans="1:32" x14ac:dyDescent="0.25">
      <c r="A90">
        <v>21</v>
      </c>
      <c r="B90" s="1">
        <v>46235</v>
      </c>
      <c r="E90" s="1">
        <v>46116</v>
      </c>
      <c r="G90">
        <v>2</v>
      </c>
      <c r="M90">
        <v>1</v>
      </c>
      <c r="N90">
        <v>1</v>
      </c>
      <c r="O90" t="s">
        <v>77</v>
      </c>
      <c r="P90" t="s">
        <v>30</v>
      </c>
      <c r="Q90" t="s">
        <v>31</v>
      </c>
      <c r="S90" t="s">
        <v>77</v>
      </c>
      <c r="T90" t="s">
        <v>42</v>
      </c>
      <c r="V90">
        <v>2</v>
      </c>
      <c r="AA90" t="s">
        <v>46</v>
      </c>
      <c r="AB90">
        <v>1</v>
      </c>
      <c r="AC90">
        <v>1</v>
      </c>
      <c r="AD90" t="s">
        <v>157</v>
      </c>
      <c r="AF90">
        <v>0</v>
      </c>
    </row>
    <row r="91" spans="1:32" x14ac:dyDescent="0.25">
      <c r="A91">
        <v>21</v>
      </c>
      <c r="B91" s="1">
        <v>46237</v>
      </c>
      <c r="E91" s="1">
        <v>46116</v>
      </c>
      <c r="G91">
        <v>3</v>
      </c>
      <c r="M91">
        <v>1</v>
      </c>
      <c r="N91">
        <v>1</v>
      </c>
      <c r="O91" t="s">
        <v>158</v>
      </c>
      <c r="P91" t="s">
        <v>30</v>
      </c>
      <c r="Q91" t="s">
        <v>31</v>
      </c>
      <c r="S91" t="s">
        <v>158</v>
      </c>
      <c r="T91" t="s">
        <v>42</v>
      </c>
      <c r="V91">
        <v>65</v>
      </c>
      <c r="X91" t="s">
        <v>42</v>
      </c>
      <c r="AA91" t="s">
        <v>46</v>
      </c>
      <c r="AB91">
        <v>1</v>
      </c>
      <c r="AC91">
        <v>1</v>
      </c>
      <c r="AD91" t="s">
        <v>159</v>
      </c>
      <c r="AF91">
        <v>7</v>
      </c>
    </row>
    <row r="92" spans="1:32" x14ac:dyDescent="0.25">
      <c r="A92">
        <v>21</v>
      </c>
      <c r="B92" s="1">
        <v>46054</v>
      </c>
      <c r="E92" s="1">
        <v>46116</v>
      </c>
      <c r="G92">
        <v>2</v>
      </c>
      <c r="M92">
        <v>1</v>
      </c>
      <c r="N92">
        <v>1</v>
      </c>
      <c r="O92" t="s">
        <v>64</v>
      </c>
      <c r="P92" t="s">
        <v>30</v>
      </c>
      <c r="Q92" t="s">
        <v>31</v>
      </c>
      <c r="S92" t="s">
        <v>64</v>
      </c>
      <c r="T92" t="s">
        <v>42</v>
      </c>
      <c r="W92">
        <v>4</v>
      </c>
      <c r="AA92" t="s">
        <v>43</v>
      </c>
      <c r="AB92">
        <v>1</v>
      </c>
      <c r="AC92">
        <v>1</v>
      </c>
      <c r="AD92" t="s">
        <v>65</v>
      </c>
      <c r="AF92">
        <v>2</v>
      </c>
    </row>
    <row r="93" spans="1:32" x14ac:dyDescent="0.25">
      <c r="A93">
        <v>21</v>
      </c>
      <c r="B93" t="s">
        <v>61</v>
      </c>
      <c r="E93" s="1">
        <v>46116</v>
      </c>
      <c r="G93">
        <v>2</v>
      </c>
      <c r="M93">
        <v>1</v>
      </c>
      <c r="N93">
        <v>1</v>
      </c>
      <c r="O93" t="s">
        <v>42</v>
      </c>
      <c r="P93" t="s">
        <v>30</v>
      </c>
      <c r="Q93" t="s">
        <v>31</v>
      </c>
      <c r="S93" t="s">
        <v>42</v>
      </c>
      <c r="T93" t="s">
        <v>42</v>
      </c>
      <c r="AA93" t="s">
        <v>43</v>
      </c>
      <c r="AB93">
        <v>1</v>
      </c>
      <c r="AC93">
        <v>1</v>
      </c>
      <c r="AD93" t="s">
        <v>44</v>
      </c>
      <c r="AF93">
        <v>2</v>
      </c>
    </row>
    <row r="94" spans="1:32" x14ac:dyDescent="0.25">
      <c r="A94">
        <v>22</v>
      </c>
      <c r="B94">
        <v>0</v>
      </c>
      <c r="E94" s="1">
        <v>46116</v>
      </c>
      <c r="G94">
        <v>1</v>
      </c>
      <c r="M94">
        <v>1</v>
      </c>
      <c r="N94">
        <v>1</v>
      </c>
      <c r="O94" t="s">
        <v>48</v>
      </c>
      <c r="P94" t="s">
        <v>30</v>
      </c>
      <c r="Q94" t="s">
        <v>31</v>
      </c>
      <c r="S94" t="s">
        <v>31</v>
      </c>
      <c r="T94" t="s">
        <v>31</v>
      </c>
      <c r="Z94" t="s">
        <v>49</v>
      </c>
      <c r="AA94" t="s">
        <v>33</v>
      </c>
      <c r="AB94">
        <v>1</v>
      </c>
      <c r="AC94">
        <v>1</v>
      </c>
      <c r="AD94" t="s">
        <v>34</v>
      </c>
      <c r="AF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Bach_1001_adagio_reviewed_Marti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savin992@gmail.com</cp:lastModifiedBy>
  <dcterms:created xsi:type="dcterms:W3CDTF">2026-02-02T08:57:06Z</dcterms:created>
  <dcterms:modified xsi:type="dcterms:W3CDTF">2026-02-02T09:50:15Z</dcterms:modified>
</cp:coreProperties>
</file>