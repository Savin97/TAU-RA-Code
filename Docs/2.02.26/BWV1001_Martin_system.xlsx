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ng\TAU-RA-Code\docs\2.02.26\"/>
    </mc:Choice>
  </mc:AlternateContent>
  <xr:revisionPtr revIDLastSave="0" documentId="13_ncr:1_{4352B3A9-6BAF-4843-A303-758EEE5D1432}" xr6:coauthVersionLast="47" xr6:coauthVersionMax="47" xr10:uidLastSave="{00000000-0000-0000-0000-000000000000}"/>
  <bookViews>
    <workbookView xWindow="-120" yWindow="-120" windowWidth="38640" windowHeight="21240" xr2:uid="{3137263C-90DF-44F5-B689-225A2B9B7652}"/>
  </bookViews>
  <sheets>
    <sheet name="Bach_1001_adagio_reviewed_Mart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I3" i="1" s="1"/>
  <c r="D3" i="1"/>
  <c r="I9" i="1"/>
  <c r="H4" i="1"/>
  <c r="H5" i="1"/>
  <c r="H6" i="1"/>
  <c r="H7" i="1"/>
  <c r="H8" i="1"/>
  <c r="H9" i="1"/>
  <c r="H10" i="1"/>
  <c r="H3" i="1"/>
  <c r="D5" i="1"/>
  <c r="D6" i="1"/>
  <c r="D7" i="1"/>
  <c r="D8" i="1"/>
  <c r="D9" i="1"/>
  <c r="D10" i="1"/>
  <c r="I10" i="1" s="1"/>
  <c r="I4" i="1" l="1"/>
  <c r="J4" i="1" s="1"/>
  <c r="I5" i="1"/>
  <c r="J5" i="1" s="1"/>
  <c r="J10" i="1"/>
  <c r="I6" i="1"/>
  <c r="I7" i="1"/>
  <c r="J7" i="1" s="1"/>
  <c r="I8" i="1"/>
  <c r="J6" i="1" l="1"/>
  <c r="J9" i="1"/>
  <c r="J8" i="1"/>
</calcChain>
</file>

<file path=xl/sharedStrings.xml><?xml version="1.0" encoding="utf-8"?>
<sst xmlns="http://schemas.openxmlformats.org/spreadsheetml/2006/main" count="35" uniqueCount="34">
  <si>
    <t>mc</t>
  </si>
  <si>
    <t>mc_onset</t>
  </si>
  <si>
    <t>mc_onset_num</t>
  </si>
  <si>
    <t>annotation_dur</t>
  </si>
  <si>
    <t>timesig</t>
  </si>
  <si>
    <t>timesig_num</t>
  </si>
  <si>
    <t>root</t>
  </si>
  <si>
    <t>root_diff</t>
  </si>
  <si>
    <t>prog_weight(dur)</t>
  </si>
  <si>
    <t>staff</t>
  </si>
  <si>
    <t>voice</t>
  </si>
  <si>
    <t>label</t>
  </si>
  <si>
    <t>chord_tones</t>
  </si>
  <si>
    <t>added_tones</t>
  </si>
  <si>
    <t>bass_note</t>
  </si>
  <si>
    <t>g.i{</t>
  </si>
  <si>
    <t>1, -2, 2</t>
  </si>
  <si>
    <t>00-Jan</t>
  </si>
  <si>
    <t>#viio6(2)</t>
  </si>
  <si>
    <t>3, 0, 1</t>
  </si>
  <si>
    <t>#viio6</t>
  </si>
  <si>
    <t>3, 0, 6</t>
  </si>
  <si>
    <t>V</t>
  </si>
  <si>
    <t>2, 6, 3</t>
  </si>
  <si>
    <t>V7</t>
  </si>
  <si>
    <t>2, 6, 3, 0</t>
  </si>
  <si>
    <t>i}</t>
  </si>
  <si>
    <t>VI6</t>
  </si>
  <si>
    <t>1, -2, -3</t>
  </si>
  <si>
    <t>v6(2)</t>
  </si>
  <si>
    <t>-1, 3, -3</t>
  </si>
  <si>
    <t>v6</t>
  </si>
  <si>
    <t>-1, 3, 2</t>
  </si>
  <si>
    <t>bigram_weight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</si>
</sst>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5E0DC-A04F-4918-A728-AE8BDACED963}">
  <dimension ref="A1:P11"/>
  <sheetViews>
    <sheetView tabSelected="1" zoomScale="160" zoomScaleNormal="160" workbookViewId="0">
      <selection activeCell="E11" sqref="E11"/>
    </sheetView>
  </sheetViews>
  <sheetFormatPr defaultRowHeight="15" x14ac:dyDescent="0.25"/>
  <cols>
    <col min="4" max="4" width="14.7109375" bestFit="1" customWidth="1"/>
    <col min="9" max="9" width="16.140625" bestFit="1" customWidth="1"/>
    <col min="10" max="10" width="14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33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>
        <v>1</v>
      </c>
      <c r="B2">
        <v>0</v>
      </c>
      <c r="C2">
        <v>0</v>
      </c>
      <c r="E2" s="1">
        <v>46116</v>
      </c>
      <c r="F2">
        <v>1</v>
      </c>
      <c r="G2">
        <v>1</v>
      </c>
      <c r="K2">
        <v>1</v>
      </c>
      <c r="L2">
        <v>1</v>
      </c>
      <c r="M2" t="s">
        <v>15</v>
      </c>
      <c r="N2" t="s">
        <v>16</v>
      </c>
      <c r="P2">
        <v>1</v>
      </c>
    </row>
    <row r="3" spans="1:16" x14ac:dyDescent="0.25">
      <c r="A3">
        <v>1</v>
      </c>
      <c r="B3" t="s">
        <v>17</v>
      </c>
      <c r="C3">
        <v>0.5</v>
      </c>
      <c r="D3">
        <f>(C3-C2)+(A3-A2)*F2</f>
        <v>0.5</v>
      </c>
      <c r="E3" s="1">
        <v>46116</v>
      </c>
      <c r="F3">
        <v>1</v>
      </c>
      <c r="G3">
        <v>6</v>
      </c>
      <c r="H3">
        <f>G3-G2</f>
        <v>5</v>
      </c>
      <c r="I3">
        <f>D3+D4</f>
        <v>0.625</v>
      </c>
      <c r="K3">
        <v>1</v>
      </c>
      <c r="L3">
        <v>1</v>
      </c>
      <c r="M3" t="s">
        <v>18</v>
      </c>
      <c r="N3" t="s">
        <v>19</v>
      </c>
      <c r="P3">
        <v>3</v>
      </c>
    </row>
    <row r="4" spans="1:16" x14ac:dyDescent="0.25">
      <c r="A4">
        <v>1</v>
      </c>
      <c r="B4" s="1">
        <v>46239</v>
      </c>
      <c r="C4">
        <v>0.625</v>
      </c>
      <c r="D4">
        <f>(C4-C3)+(A4-A3)*F3</f>
        <v>0.125</v>
      </c>
      <c r="E4" s="1">
        <v>46116</v>
      </c>
      <c r="F4">
        <v>1</v>
      </c>
      <c r="G4">
        <v>6</v>
      </c>
      <c r="H4">
        <f t="shared" ref="H4:H10" si="0">G4-G3</f>
        <v>0</v>
      </c>
      <c r="I4">
        <f t="shared" ref="I4:I8" si="1">D4+D5</f>
        <v>0.25</v>
      </c>
      <c r="J4">
        <f t="shared" ref="J4:J10" si="2">I4+I3</f>
        <v>0.875</v>
      </c>
      <c r="K4">
        <v>1</v>
      </c>
      <c r="L4">
        <v>1</v>
      </c>
      <c r="M4" t="s">
        <v>20</v>
      </c>
      <c r="N4" t="s">
        <v>21</v>
      </c>
      <c r="P4">
        <v>3</v>
      </c>
    </row>
    <row r="5" spans="1:16" x14ac:dyDescent="0.25">
      <c r="A5">
        <v>1</v>
      </c>
      <c r="B5" s="1">
        <v>46115</v>
      </c>
      <c r="C5">
        <v>0.75</v>
      </c>
      <c r="D5">
        <f t="shared" ref="D5:D10" si="3">(C5-C4)+(A5-A4)*F4</f>
        <v>0.125</v>
      </c>
      <c r="E5" s="1">
        <v>46116</v>
      </c>
      <c r="F5">
        <v>1</v>
      </c>
      <c r="G5">
        <v>2</v>
      </c>
      <c r="H5">
        <f t="shared" si="0"/>
        <v>-4</v>
      </c>
      <c r="I5">
        <f t="shared" si="1"/>
        <v>0.375</v>
      </c>
      <c r="J5">
        <f t="shared" si="2"/>
        <v>0.625</v>
      </c>
      <c r="K5">
        <v>1</v>
      </c>
      <c r="L5">
        <v>1</v>
      </c>
      <c r="M5" t="s">
        <v>22</v>
      </c>
      <c r="N5" t="s">
        <v>23</v>
      </c>
      <c r="P5">
        <v>2</v>
      </c>
    </row>
    <row r="6" spans="1:16" x14ac:dyDescent="0.25">
      <c r="A6">
        <v>2</v>
      </c>
      <c r="B6">
        <v>0</v>
      </c>
      <c r="C6">
        <v>0</v>
      </c>
      <c r="D6">
        <f t="shared" si="3"/>
        <v>0.25</v>
      </c>
      <c r="E6" s="1">
        <v>46116</v>
      </c>
      <c r="F6">
        <v>1</v>
      </c>
      <c r="G6">
        <v>2</v>
      </c>
      <c r="H6">
        <f t="shared" si="0"/>
        <v>0</v>
      </c>
      <c r="I6">
        <f t="shared" si="1"/>
        <v>0.75</v>
      </c>
      <c r="J6">
        <f t="shared" si="2"/>
        <v>1.125</v>
      </c>
      <c r="K6">
        <v>1</v>
      </c>
      <c r="L6">
        <v>1</v>
      </c>
      <c r="M6" t="s">
        <v>24</v>
      </c>
      <c r="N6" t="s">
        <v>25</v>
      </c>
      <c r="P6">
        <v>2</v>
      </c>
    </row>
    <row r="7" spans="1:16" x14ac:dyDescent="0.25">
      <c r="A7">
        <v>2</v>
      </c>
      <c r="B7" s="1">
        <v>46054</v>
      </c>
      <c r="C7">
        <v>0.5</v>
      </c>
      <c r="D7">
        <f t="shared" si="3"/>
        <v>0.5</v>
      </c>
      <c r="E7" s="1">
        <v>46116</v>
      </c>
      <c r="F7">
        <v>1</v>
      </c>
      <c r="G7">
        <v>1</v>
      </c>
      <c r="H7">
        <f t="shared" si="0"/>
        <v>-1</v>
      </c>
      <c r="I7">
        <f t="shared" si="1"/>
        <v>0.75</v>
      </c>
      <c r="J7">
        <f t="shared" si="2"/>
        <v>1.5</v>
      </c>
      <c r="K7">
        <v>1</v>
      </c>
      <c r="L7">
        <v>1</v>
      </c>
      <c r="M7" t="s">
        <v>26</v>
      </c>
      <c r="N7" t="s">
        <v>16</v>
      </c>
      <c r="P7">
        <v>1</v>
      </c>
    </row>
    <row r="8" spans="1:16" x14ac:dyDescent="0.25">
      <c r="A8">
        <v>2</v>
      </c>
      <c r="B8" s="1">
        <v>46115</v>
      </c>
      <c r="C8">
        <v>0.75</v>
      </c>
      <c r="D8">
        <f t="shared" si="3"/>
        <v>0.25</v>
      </c>
      <c r="E8" s="1">
        <v>46116</v>
      </c>
      <c r="F8">
        <v>1</v>
      </c>
      <c r="G8">
        <v>-3</v>
      </c>
      <c r="H8">
        <f t="shared" si="0"/>
        <v>-4</v>
      </c>
      <c r="I8">
        <f t="shared" si="1"/>
        <v>0.5</v>
      </c>
      <c r="J8">
        <f t="shared" si="2"/>
        <v>1.25</v>
      </c>
      <c r="K8">
        <v>1</v>
      </c>
      <c r="L8">
        <v>1</v>
      </c>
      <c r="M8" t="s">
        <v>27</v>
      </c>
      <c r="N8" t="s">
        <v>28</v>
      </c>
      <c r="P8">
        <v>1</v>
      </c>
    </row>
    <row r="9" spans="1:16" x14ac:dyDescent="0.25">
      <c r="A9">
        <v>3</v>
      </c>
      <c r="B9">
        <v>0</v>
      </c>
      <c r="C9">
        <v>0</v>
      </c>
      <c r="D9">
        <f t="shared" si="3"/>
        <v>0.25</v>
      </c>
      <c r="E9" s="1">
        <v>46116</v>
      </c>
      <c r="F9">
        <v>1</v>
      </c>
      <c r="G9">
        <v>2</v>
      </c>
      <c r="H9">
        <f t="shared" si="0"/>
        <v>5</v>
      </c>
      <c r="I9">
        <f>D9+D10</f>
        <v>0.5</v>
      </c>
      <c r="J9">
        <f t="shared" si="2"/>
        <v>1</v>
      </c>
      <c r="K9">
        <v>1</v>
      </c>
      <c r="L9">
        <v>1</v>
      </c>
      <c r="M9" t="s">
        <v>29</v>
      </c>
      <c r="N9" t="s">
        <v>30</v>
      </c>
      <c r="P9">
        <v>-1</v>
      </c>
    </row>
    <row r="10" spans="1:16" x14ac:dyDescent="0.25">
      <c r="A10">
        <v>3</v>
      </c>
      <c r="B10" s="1">
        <v>46113</v>
      </c>
      <c r="C10">
        <v>0.25</v>
      </c>
      <c r="D10">
        <f t="shared" si="3"/>
        <v>0.25</v>
      </c>
      <c r="E10" s="1">
        <v>46116</v>
      </c>
      <c r="F10">
        <v>1</v>
      </c>
      <c r="G10">
        <v>2</v>
      </c>
      <c r="H10">
        <f t="shared" si="0"/>
        <v>0</v>
      </c>
      <c r="I10">
        <f>D10+0</f>
        <v>0.25</v>
      </c>
      <c r="J10">
        <f t="shared" si="2"/>
        <v>0.75</v>
      </c>
      <c r="K10">
        <v>1</v>
      </c>
      <c r="L10">
        <v>1</v>
      </c>
      <c r="M10" t="s">
        <v>31</v>
      </c>
      <c r="N10" t="s">
        <v>32</v>
      </c>
      <c r="P10">
        <v>-1</v>
      </c>
    </row>
    <row r="11" spans="1:16" x14ac:dyDescent="0.25">
      <c r="C11">
        <v>0</v>
      </c>
      <c r="D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Bach_1001_adagio_reviewed_Marti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savin992@gmail.com</cp:lastModifiedBy>
  <dcterms:created xsi:type="dcterms:W3CDTF">2026-02-02T08:57:06Z</dcterms:created>
  <dcterms:modified xsi:type="dcterms:W3CDTF">2026-02-08T12:16:56Z</dcterms:modified>
</cp:coreProperties>
</file>